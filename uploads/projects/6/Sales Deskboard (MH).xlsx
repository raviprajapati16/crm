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8cc\OneDrive\Desktop\"/>
    </mc:Choice>
  </mc:AlternateContent>
  <xr:revisionPtr revIDLastSave="0" documentId="13_ncr:1_{B82CA203-F58C-4E03-8139-BC746B8ABFC7}" xr6:coauthVersionLast="47" xr6:coauthVersionMax="47" xr10:uidLastSave="{00000000-0000-0000-0000-000000000000}"/>
  <bookViews>
    <workbookView xWindow="-120" yWindow="-120" windowWidth="29040" windowHeight="15720" tabRatio="768" activeTab="5" xr2:uid="{00000000-000D-0000-FFFF-FFFF00000000}"/>
  </bookViews>
  <sheets>
    <sheet name="Maps" sheetId="8" r:id="rId1"/>
    <sheet name="2019-20" sheetId="1" r:id="rId2"/>
    <sheet name="2020-21" sheetId="10" r:id="rId3"/>
    <sheet name="2021-22" sheetId="9" r:id="rId4"/>
    <sheet name="2022-23" sheetId="11" r:id="rId5"/>
    <sheet name="2023-24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O46" i="12" l="1"/>
  <c r="N46" i="12"/>
  <c r="M46" i="12"/>
  <c r="L46" i="12"/>
  <c r="K46" i="12"/>
  <c r="J46" i="12"/>
  <c r="I46" i="12"/>
  <c r="H46" i="12"/>
  <c r="G46" i="12"/>
  <c r="F46" i="12"/>
  <c r="E46" i="12"/>
  <c r="D46" i="12"/>
  <c r="P9" i="12"/>
  <c r="P46" i="12" s="1"/>
  <c r="O46" i="11"/>
  <c r="N46" i="11"/>
  <c r="M46" i="11"/>
  <c r="L46" i="11"/>
  <c r="K46" i="11"/>
  <c r="J46" i="11"/>
  <c r="I46" i="11"/>
  <c r="H46" i="11"/>
  <c r="G46" i="11"/>
  <c r="F46" i="11"/>
  <c r="E46" i="11"/>
  <c r="D46" i="11"/>
  <c r="P9" i="11"/>
  <c r="P46" i="11" s="1"/>
  <c r="O44" i="10"/>
  <c r="N44" i="10"/>
  <c r="M44" i="10"/>
  <c r="L44" i="10"/>
  <c r="K44" i="10"/>
  <c r="J44" i="10"/>
  <c r="I44" i="10"/>
  <c r="H44" i="10"/>
  <c r="G44" i="10"/>
  <c r="F44" i="10"/>
  <c r="E44" i="10"/>
  <c r="D44" i="10"/>
  <c r="P7" i="10"/>
  <c r="O46" i="9"/>
  <c r="N46" i="9"/>
  <c r="M46" i="9"/>
  <c r="L46" i="9"/>
  <c r="K46" i="9"/>
  <c r="J46" i="9"/>
  <c r="I46" i="9"/>
  <c r="H46" i="9"/>
  <c r="G46" i="9"/>
  <c r="F46" i="9"/>
  <c r="E46" i="9"/>
  <c r="D46" i="9"/>
  <c r="P9" i="9"/>
  <c r="P46" i="9" s="1"/>
  <c r="P44" i="10" l="1"/>
  <c r="O46" i="1"/>
  <c r="N46" i="1"/>
  <c r="M46" i="1"/>
  <c r="L46" i="1"/>
  <c r="K46" i="1"/>
  <c r="J46" i="1"/>
  <c r="I46" i="1"/>
  <c r="H46" i="1"/>
  <c r="G46" i="1"/>
  <c r="F46" i="1"/>
  <c r="E46" i="1"/>
  <c r="D46" i="1"/>
  <c r="P9" i="1"/>
  <c r="P46" i="1" l="1"/>
</calcChain>
</file>

<file path=xl/sharedStrings.xml><?xml version="1.0" encoding="utf-8"?>
<sst xmlns="http://schemas.openxmlformats.org/spreadsheetml/2006/main" count="309" uniqueCount="63">
  <si>
    <t>Ahmednagar</t>
  </si>
  <si>
    <t>Akola</t>
  </si>
  <si>
    <t>Amravati</t>
  </si>
  <si>
    <t>Aurangabad</t>
  </si>
  <si>
    <t>Beed</t>
  </si>
  <si>
    <t>Bhandar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</si>
  <si>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</si>
  <si>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</si>
  <si>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</si>
  <si>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</si>
  <si>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</si>
  <si>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</si>
  <si>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</si>
  <si>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</si>
  <si>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</si>
  <si>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</si>
  <si>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</si>
  <si>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</si>
  <si>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</si>
  <si>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</si>
  <si>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</si>
  <si>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</si>
  <si>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</si>
  <si>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</si>
  <si>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</si>
  <si>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</si>
  <si>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</si>
  <si>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</si>
  <si>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</si>
  <si>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</si>
  <si>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</si>
  <si>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</si>
  <si>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</si>
  <si>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</si>
  <si>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</si>
  <si>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Palghar</t>
  </si>
  <si>
    <t>Total</t>
  </si>
  <si>
    <t>Month &amp; Date</t>
  </si>
  <si>
    <t>Date</t>
  </si>
  <si>
    <t>-</t>
  </si>
  <si>
    <t>Tour</t>
  </si>
  <si>
    <t>Purpose</t>
  </si>
  <si>
    <t>Monthwise (Sales)</t>
  </si>
  <si>
    <t>From Date 01/04/2019 To 31/03/2020</t>
  </si>
  <si>
    <t>April Qty</t>
  </si>
  <si>
    <t>May Qty</t>
  </si>
  <si>
    <t>June Qty</t>
  </si>
  <si>
    <t>July Qty</t>
  </si>
  <si>
    <t>August Qty</t>
  </si>
  <si>
    <t>September Qty</t>
  </si>
  <si>
    <t>October Qty</t>
  </si>
  <si>
    <t>November Qty</t>
  </si>
  <si>
    <t>December Qty</t>
  </si>
  <si>
    <t>January Qty</t>
  </si>
  <si>
    <t>February Qty</t>
  </si>
  <si>
    <t>March Qty</t>
  </si>
  <si>
    <t>Qty</t>
  </si>
  <si>
    <t>Sr. No.</t>
  </si>
  <si>
    <t>District Name</t>
  </si>
  <si>
    <t>From Date 01/04/2022 To 31/03/2023</t>
  </si>
  <si>
    <t>From Date 01/04/2021 To 31/03/2022</t>
  </si>
  <si>
    <t>From Date 01/04/2020 To 31/03/2021</t>
  </si>
  <si>
    <t>From Date 01/04/2023 To 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</si>
</sst>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[$-409]mmmm/yy;@"/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DB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1" fillId="0" borderId="0" xfId="0" applyNumberFormat="1" applyFont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166" fontId="0" fillId="0" borderId="11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" xfId="0" applyBorder="1"/>
    <xf numFmtId="0" fontId="0" fillId="0" borderId="5" xfId="0" applyBorder="1"/>
    <xf numFmtId="0" fontId="0" fillId="0" borderId="12" xfId="0" applyBorder="1"/>
    <xf numFmtId="0" fontId="0" fillId="0" borderId="18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21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right" vertical="center"/>
    </xf>
    <xf numFmtId="49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167" fontId="3" fillId="3" borderId="0" xfId="0" applyNumberFormat="1" applyFont="1" applyFill="1" applyAlignment="1">
      <alignment horizontal="right" vertical="center"/>
    </xf>
    <xf numFmtId="49" fontId="3" fillId="3" borderId="24" xfId="0" applyNumberFormat="1" applyFont="1" applyFill="1" applyBorder="1" applyAlignment="1">
      <alignment vertical="center"/>
    </xf>
    <xf numFmtId="49" fontId="3" fillId="3" borderId="25" xfId="0" applyNumberFormat="1" applyFont="1" applyFill="1" applyBorder="1" applyAlignment="1">
      <alignment horizontal="right" vertical="center"/>
    </xf>
    <xf numFmtId="49" fontId="3" fillId="3" borderId="23" xfId="0" applyNumberFormat="1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8" xfId="0" applyBorder="1" applyAlignment="1">
      <alignment vertical="center"/>
    </xf>
    <xf numFmtId="165" fontId="0" fillId="2" borderId="0" xfId="0" applyNumberFormat="1" applyFill="1" applyAlignment="1">
      <alignment horizontal="center" vertical="center" wrapText="1"/>
    </xf>
    <xf numFmtId="0" fontId="0" fillId="2" borderId="5" xfId="0" applyFill="1" applyBorder="1"/>
    <xf numFmtId="0" fontId="0" fillId="2" borderId="1" xfId="0" applyFill="1" applyBorder="1"/>
    <xf numFmtId="0" fontId="0" fillId="2" borderId="12" xfId="0" applyFill="1" applyBorder="1"/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167" fontId="4" fillId="4" borderId="0" xfId="0" applyNumberFormat="1" applyFont="1" applyFill="1" applyAlignment="1">
      <alignment horizontal="right" vertical="center"/>
    </xf>
    <xf numFmtId="49" fontId="3" fillId="3" borderId="29" xfId="0" applyNumberFormat="1" applyFont="1" applyFill="1" applyBorder="1" applyAlignment="1">
      <alignment vertical="center"/>
    </xf>
    <xf numFmtId="49" fontId="3" fillId="3" borderId="30" xfId="0" applyNumberFormat="1" applyFont="1" applyFill="1" applyBorder="1" applyAlignment="1">
      <alignment vertical="center"/>
    </xf>
    <xf numFmtId="49" fontId="3" fillId="3" borderId="31" xfId="0" applyNumberFormat="1" applyFont="1" applyFill="1" applyBorder="1" applyAlignment="1">
      <alignment horizontal="right" vertical="center"/>
    </xf>
    <xf numFmtId="49" fontId="3" fillId="3" borderId="32" xfId="0" applyNumberFormat="1" applyFont="1" applyFill="1" applyBorder="1" applyAlignment="1">
      <alignment horizontal="right" vertical="center"/>
    </xf>
    <xf numFmtId="165" fontId="1" fillId="0" borderId="1" xfId="0" applyNumberFormat="1" applyFont="1" applyBorder="1" applyAlignment="1">
      <alignment horizontal="left" vertical="center" wrapText="1"/>
    </xf>
    <xf numFmtId="167" fontId="4" fillId="4" borderId="1" xfId="0" applyNumberFormat="1" applyFont="1" applyFill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165" fontId="0" fillId="0" borderId="2" xfId="0" applyNumberForma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left" vertical="center" wrapText="1"/>
    </xf>
    <xf numFmtId="167" fontId="4" fillId="4" borderId="3" xfId="0" applyNumberFormat="1" applyFont="1" applyFill="1" applyBorder="1" applyAlignment="1">
      <alignment horizontal="right" vertical="center"/>
    </xf>
    <xf numFmtId="167" fontId="4" fillId="5" borderId="3" xfId="0" applyNumberFormat="1" applyFont="1" applyFill="1" applyBorder="1" applyAlignment="1">
      <alignment horizontal="right" vertical="center"/>
    </xf>
    <xf numFmtId="165" fontId="0" fillId="0" borderId="5" xfId="0" applyNumberFormat="1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165" fontId="1" fillId="0" borderId="14" xfId="0" applyNumberFormat="1" applyFont="1" applyBorder="1" applyAlignment="1">
      <alignment horizontal="left" vertical="center" wrapText="1"/>
    </xf>
    <xf numFmtId="167" fontId="4" fillId="4" borderId="14" xfId="0" applyNumberFormat="1" applyFont="1" applyFill="1" applyBorder="1" applyAlignment="1">
      <alignment horizontal="right" vertical="center"/>
    </xf>
    <xf numFmtId="167" fontId="4" fillId="4" borderId="12" xfId="0" applyNumberFormat="1" applyFont="1" applyFill="1" applyBorder="1" applyAlignment="1">
      <alignment horizontal="right" vertical="center"/>
    </xf>
    <xf numFmtId="167" fontId="4" fillId="4" borderId="15" xfId="0" applyNumberFormat="1" applyFont="1" applyFill="1" applyBorder="1" applyAlignment="1">
      <alignment horizontal="right" vertical="center"/>
    </xf>
    <xf numFmtId="167" fontId="4" fillId="5" borderId="4" xfId="0" applyNumberFormat="1" applyFont="1" applyFill="1" applyBorder="1" applyAlignment="1">
      <alignment horizontal="right" vertical="center"/>
    </xf>
    <xf numFmtId="167" fontId="4" fillId="5" borderId="12" xfId="0" applyNumberFormat="1" applyFont="1" applyFill="1" applyBorder="1" applyAlignment="1">
      <alignment horizontal="right"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377024</xdr:colOff>
      <xdr:row>60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20831-70A7-4AB6-A0A8-8B06A27F0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61115" cy="14547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"/>
  <sheetViews>
    <sheetView zoomScale="40" zoomScaleNormal="40" workbookViewId="0">
      <selection activeCell="AF42" sqref="AF42"/>
    </sheetView>
  </sheetViews>
  <sheetFormatPr defaultRowHeight="18.75" x14ac:dyDescent="0.25"/>
  <cols>
    <col min="1" max="1" width="9.140625" style="2"/>
    <col min="2" max="2" width="7.7109375" style="1" customWidth="1"/>
    <col min="3" max="3" width="23.28515625" style="3" customWidth="1"/>
    <col min="4" max="4" width="10.28515625" style="2" bestFit="1" customWidth="1"/>
    <col min="5" max="5" width="11.5703125" style="2" customWidth="1"/>
    <col min="6" max="6" width="13.7109375" style="2" customWidth="1"/>
    <col min="7" max="7" width="10.28515625" style="2" customWidth="1"/>
    <col min="8" max="9" width="11.28515625" style="2" customWidth="1"/>
    <col min="10" max="11" width="10.28515625" style="2" bestFit="1" customWidth="1"/>
    <col min="12" max="12" width="14.140625" style="2" bestFit="1" customWidth="1"/>
    <col min="13" max="15" width="10.28515625" style="2" bestFit="1" customWidth="1"/>
    <col min="16" max="16" width="16" style="2" customWidth="1"/>
    <col min="17" max="16384" width="9.140625" style="2"/>
  </cols>
  <sheetData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BA46"/>
  <sheetViews>
    <sheetView zoomScale="85" zoomScaleNormal="85" workbookViewId="0">
      <selection activeCell="D9" sqref="D9:O44"/>
    </sheetView>
  </sheetViews>
  <sheetFormatPr defaultRowHeight="18.75" x14ac:dyDescent="0.25"/>
  <cols>
    <col min="1" max="2" width="9.140625" style="2"/>
    <col min="3" max="3" width="32.85546875" style="1" customWidth="1"/>
    <col min="4" max="4" width="18.42578125" style="3" customWidth="1"/>
    <col min="5" max="5" width="10.28515625" style="2" bestFit="1" customWidth="1"/>
    <col min="6" max="6" width="11.5703125" style="2" customWidth="1"/>
    <col min="7" max="7" width="13.7109375" style="2" customWidth="1"/>
    <col min="8" max="8" width="11.140625" style="2" bestFit="1" customWidth="1"/>
    <col min="9" max="9" width="15" style="2" bestFit="1" customWidth="1"/>
    <col min="10" max="10" width="12" style="2" bestFit="1" customWidth="1"/>
    <col min="11" max="11" width="14.42578125" style="2" bestFit="1" customWidth="1"/>
    <col min="12" max="12" width="14.28515625" style="2" bestFit="1" customWidth="1"/>
    <col min="13" max="13" width="12.140625" style="2" bestFit="1" customWidth="1"/>
    <col min="14" max="14" width="13.42578125" style="2" bestFit="1" customWidth="1"/>
    <col min="15" max="16" width="10.28515625" style="2" bestFit="1" customWidth="1"/>
    <col min="17" max="17" width="16" style="2" customWidth="1"/>
    <col min="18" max="18" width="17.5703125" style="2" customWidth="1"/>
    <col min="19" max="49" width="3.7109375" style="2" customWidth="1"/>
    <col min="50" max="50" width="9.140625" style="2"/>
    <col min="51" max="51" width="14.85546875" style="2" customWidth="1"/>
    <col min="52" max="52" width="18.5703125" style="2" customWidth="1"/>
    <col min="53" max="53" width="23.140625" style="2" customWidth="1"/>
    <col min="54" max="16384" width="9.140625" style="2"/>
  </cols>
  <sheetData>
    <row r="6" spans="2:53" ht="15" x14ac:dyDescent="0.25">
      <c r="B6" s="74" t="s">
        <v>42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2:53" ht="15.75" thickBot="1" x14ac:dyDescent="0.3">
      <c r="B7" s="36" t="s">
        <v>43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2:53" ht="15.75" thickBot="1" x14ac:dyDescent="0.3">
      <c r="B8" s="40" t="s">
        <v>57</v>
      </c>
      <c r="C8" s="42" t="s">
        <v>58</v>
      </c>
      <c r="D8" s="41" t="s">
        <v>44</v>
      </c>
      <c r="E8" s="35" t="s">
        <v>45</v>
      </c>
      <c r="F8" s="35" t="s">
        <v>46</v>
      </c>
      <c r="G8" s="35" t="s">
        <v>47</v>
      </c>
      <c r="H8" s="35" t="s">
        <v>48</v>
      </c>
      <c r="I8" s="35" t="s">
        <v>49</v>
      </c>
      <c r="J8" s="35" t="s">
        <v>50</v>
      </c>
      <c r="K8" s="35" t="s">
        <v>51</v>
      </c>
      <c r="L8" s="35" t="s">
        <v>52</v>
      </c>
      <c r="M8" s="35" t="s">
        <v>53</v>
      </c>
      <c r="N8" s="35" t="s">
        <v>54</v>
      </c>
      <c r="O8" s="35" t="s">
        <v>55</v>
      </c>
      <c r="P8" s="35" t="s">
        <v>56</v>
      </c>
      <c r="R8" s="8" t="s">
        <v>37</v>
      </c>
      <c r="S8" s="64">
        <v>1</v>
      </c>
      <c r="T8" s="32">
        <v>2</v>
      </c>
      <c r="U8" s="32">
        <v>3</v>
      </c>
      <c r="V8" s="32">
        <v>4</v>
      </c>
      <c r="W8" s="32">
        <v>5</v>
      </c>
      <c r="X8" s="32">
        <v>6</v>
      </c>
      <c r="Y8" s="32">
        <v>7</v>
      </c>
      <c r="Z8" s="32">
        <v>8</v>
      </c>
      <c r="AA8" s="32">
        <v>9</v>
      </c>
      <c r="AB8" s="32">
        <v>10</v>
      </c>
      <c r="AC8" s="32">
        <v>11</v>
      </c>
      <c r="AD8" s="32">
        <v>12</v>
      </c>
      <c r="AE8" s="32">
        <v>13</v>
      </c>
      <c r="AF8" s="32">
        <v>14</v>
      </c>
      <c r="AG8" s="32">
        <v>15</v>
      </c>
      <c r="AH8" s="32">
        <v>16</v>
      </c>
      <c r="AI8" s="32">
        <v>17</v>
      </c>
      <c r="AJ8" s="32">
        <v>18</v>
      </c>
      <c r="AK8" s="32">
        <v>19</v>
      </c>
      <c r="AL8" s="32">
        <v>20</v>
      </c>
      <c r="AM8" s="32">
        <v>21</v>
      </c>
      <c r="AN8" s="32">
        <v>22</v>
      </c>
      <c r="AO8" s="32">
        <v>23</v>
      </c>
      <c r="AP8" s="32">
        <v>24</v>
      </c>
      <c r="AQ8" s="32">
        <v>25</v>
      </c>
      <c r="AR8" s="32">
        <v>26</v>
      </c>
      <c r="AS8" s="32">
        <v>27</v>
      </c>
      <c r="AT8" s="32">
        <v>28</v>
      </c>
      <c r="AU8" s="32">
        <v>29</v>
      </c>
      <c r="AV8" s="32">
        <v>30</v>
      </c>
      <c r="AW8" s="33">
        <v>31</v>
      </c>
      <c r="AY8" s="31" t="s">
        <v>40</v>
      </c>
      <c r="AZ8" s="32" t="s">
        <v>41</v>
      </c>
      <c r="BA8" s="33" t="s">
        <v>38</v>
      </c>
    </row>
    <row r="9" spans="2:53" x14ac:dyDescent="0.25">
      <c r="B9" s="2">
        <v>1</v>
      </c>
      <c r="C9" s="3" t="s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37">
        <f>SUM(D9:O9)</f>
        <v>0</v>
      </c>
      <c r="R9" s="7">
        <v>43556</v>
      </c>
      <c r="S9" s="65"/>
      <c r="T9" s="66"/>
      <c r="U9" s="66"/>
      <c r="V9" s="67"/>
      <c r="W9" s="67"/>
      <c r="X9" s="67"/>
      <c r="Y9" s="67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8"/>
      <c r="AY9" s="28"/>
      <c r="AZ9" s="29"/>
      <c r="BA9" s="30"/>
    </row>
    <row r="10" spans="2:53" x14ac:dyDescent="0.25">
      <c r="B10" s="2">
        <v>2</v>
      </c>
      <c r="C10" s="3" t="s">
        <v>1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37">
        <f t="shared" ref="P10:P44" si="0">SUM(D10:O10)</f>
        <v>0</v>
      </c>
      <c r="R10" s="7">
        <v>43586</v>
      </c>
      <c r="S10" s="69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34"/>
      <c r="AY10" s="23"/>
      <c r="AZ10" s="22"/>
      <c r="BA10" s="24"/>
    </row>
    <row r="11" spans="2:53" x14ac:dyDescent="0.25">
      <c r="B11" s="2">
        <v>3</v>
      </c>
      <c r="C11" s="3" t="s">
        <v>2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37">
        <f t="shared" si="0"/>
        <v>0</v>
      </c>
      <c r="R11" s="7">
        <v>43617</v>
      </c>
      <c r="S11" s="55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4"/>
      <c r="AW11" s="45"/>
      <c r="AX11" s="60"/>
      <c r="AY11" s="20"/>
      <c r="AZ11" s="14"/>
      <c r="BA11" s="15"/>
    </row>
    <row r="12" spans="2:53" x14ac:dyDescent="0.25">
      <c r="B12" s="2">
        <v>4</v>
      </c>
      <c r="C12" s="3" t="s">
        <v>3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37">
        <f t="shared" si="0"/>
        <v>0</v>
      </c>
      <c r="R12" s="7">
        <v>43647</v>
      </c>
      <c r="S12" s="55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4"/>
      <c r="AW12" s="45"/>
      <c r="AX12" s="60"/>
      <c r="AY12" s="61"/>
      <c r="AZ12" s="62"/>
      <c r="BA12" s="63"/>
    </row>
    <row r="13" spans="2:53" x14ac:dyDescent="0.25">
      <c r="B13" s="2">
        <v>5</v>
      </c>
      <c r="C13" s="3" t="s">
        <v>4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37">
        <f t="shared" si="0"/>
        <v>0</v>
      </c>
      <c r="R13" s="7">
        <v>43678</v>
      </c>
      <c r="S13" s="52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45"/>
      <c r="AX13" s="60"/>
      <c r="AY13" s="61"/>
      <c r="AZ13" s="62"/>
      <c r="BA13" s="63"/>
    </row>
    <row r="14" spans="2:53" x14ac:dyDescent="0.25">
      <c r="B14" s="2">
        <v>6</v>
      </c>
      <c r="C14" s="3" t="s">
        <v>5</v>
      </c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37">
        <f t="shared" si="0"/>
        <v>0</v>
      </c>
      <c r="R14" s="7">
        <v>43709</v>
      </c>
      <c r="S14" s="69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34"/>
      <c r="AY14" s="23"/>
      <c r="AZ14" s="22"/>
      <c r="BA14" s="24"/>
    </row>
    <row r="15" spans="2:53" x14ac:dyDescent="0.25">
      <c r="B15" s="2">
        <v>7</v>
      </c>
      <c r="C15" s="3" t="s">
        <v>6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37">
        <f t="shared" si="0"/>
        <v>0</v>
      </c>
      <c r="R15" s="7">
        <v>43739</v>
      </c>
      <c r="S15" s="69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34"/>
      <c r="AY15" s="23"/>
      <c r="AZ15" s="22"/>
      <c r="BA15" s="24"/>
    </row>
    <row r="16" spans="2:53" x14ac:dyDescent="0.25">
      <c r="B16" s="2">
        <v>8</v>
      </c>
      <c r="C16" s="3" t="s">
        <v>7</v>
      </c>
      <c r="D16" s="75">
        <v>0</v>
      </c>
      <c r="E16" s="75">
        <v>0</v>
      </c>
      <c r="F16" s="75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37">
        <f t="shared" si="0"/>
        <v>0</v>
      </c>
      <c r="R16" s="7">
        <v>43770</v>
      </c>
      <c r="S16" s="69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34"/>
      <c r="AY16" s="23"/>
      <c r="AZ16" s="22"/>
      <c r="BA16" s="24"/>
    </row>
    <row r="17" spans="2:53" x14ac:dyDescent="0.25">
      <c r="B17" s="2">
        <v>9</v>
      </c>
      <c r="C17" s="3" t="s">
        <v>8</v>
      </c>
      <c r="D17" s="75">
        <v>0</v>
      </c>
      <c r="E17" s="75">
        <v>0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37">
        <f t="shared" si="0"/>
        <v>0</v>
      </c>
      <c r="R17" s="7">
        <v>43800</v>
      </c>
      <c r="S17" s="52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45"/>
      <c r="AY17" s="23"/>
      <c r="AZ17" s="22"/>
      <c r="BA17" s="24"/>
    </row>
    <row r="18" spans="2:53" x14ac:dyDescent="0.25">
      <c r="B18" s="2">
        <v>10</v>
      </c>
      <c r="C18" s="3" t="s">
        <v>9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37">
        <f t="shared" si="0"/>
        <v>0</v>
      </c>
      <c r="R18" s="7">
        <v>43831</v>
      </c>
      <c r="S18" s="52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45"/>
      <c r="AY18" s="23"/>
      <c r="AZ18" s="22"/>
      <c r="BA18" s="24"/>
    </row>
    <row r="19" spans="2:53" x14ac:dyDescent="0.25">
      <c r="B19" s="2">
        <v>11</v>
      </c>
      <c r="C19" s="3" t="s">
        <v>10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37">
        <f t="shared" si="0"/>
        <v>0</v>
      </c>
      <c r="R19" s="7">
        <v>43862</v>
      </c>
      <c r="S19" s="69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34"/>
      <c r="AY19" s="23"/>
      <c r="AZ19" s="22"/>
      <c r="BA19" s="24"/>
    </row>
    <row r="20" spans="2:53" ht="19.5" thickBot="1" x14ac:dyDescent="0.3">
      <c r="B20" s="2">
        <v>12</v>
      </c>
      <c r="C20" s="3" t="s">
        <v>11</v>
      </c>
      <c r="D20" s="75">
        <v>0</v>
      </c>
      <c r="E20" s="75">
        <v>0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37">
        <f t="shared" si="0"/>
        <v>0</v>
      </c>
      <c r="R20" s="7">
        <v>43891</v>
      </c>
      <c r="S20" s="71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3"/>
      <c r="AY20" s="25"/>
      <c r="AZ20" s="26"/>
      <c r="BA20" s="27"/>
    </row>
    <row r="21" spans="2:53" x14ac:dyDescent="0.25">
      <c r="B21" s="2">
        <v>13</v>
      </c>
      <c r="C21" s="3" t="s">
        <v>12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37">
        <f t="shared" si="0"/>
        <v>0</v>
      </c>
    </row>
    <row r="22" spans="2:53" x14ac:dyDescent="0.25">
      <c r="B22" s="2">
        <v>14</v>
      </c>
      <c r="C22" s="3" t="s">
        <v>13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37">
        <f t="shared" si="0"/>
        <v>0</v>
      </c>
    </row>
    <row r="23" spans="2:53" x14ac:dyDescent="0.25">
      <c r="B23" s="2">
        <v>15</v>
      </c>
      <c r="C23" s="3" t="s">
        <v>14</v>
      </c>
      <c r="D23" s="75">
        <v>0</v>
      </c>
      <c r="E23" s="75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37">
        <f t="shared" si="0"/>
        <v>0</v>
      </c>
    </row>
    <row r="24" spans="2:53" x14ac:dyDescent="0.25">
      <c r="B24" s="2">
        <v>16</v>
      </c>
      <c r="C24" s="3" t="s">
        <v>15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37">
        <f t="shared" si="0"/>
        <v>0</v>
      </c>
    </row>
    <row r="25" spans="2:53" x14ac:dyDescent="0.25">
      <c r="B25" s="2">
        <v>17</v>
      </c>
      <c r="C25" s="3" t="s">
        <v>16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37">
        <f t="shared" si="0"/>
        <v>0</v>
      </c>
    </row>
    <row r="26" spans="2:53" x14ac:dyDescent="0.25">
      <c r="B26" s="2">
        <v>18</v>
      </c>
      <c r="C26" s="3" t="s">
        <v>17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37">
        <f t="shared" si="0"/>
        <v>0</v>
      </c>
    </row>
    <row r="27" spans="2:53" x14ac:dyDescent="0.25">
      <c r="B27" s="2">
        <v>19</v>
      </c>
      <c r="C27" s="3" t="s">
        <v>18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37">
        <f t="shared" si="0"/>
        <v>0</v>
      </c>
    </row>
    <row r="28" spans="2:53" x14ac:dyDescent="0.25">
      <c r="B28" s="2">
        <v>20</v>
      </c>
      <c r="C28" s="3" t="s">
        <v>19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37">
        <f t="shared" si="0"/>
        <v>0</v>
      </c>
    </row>
    <row r="29" spans="2:53" x14ac:dyDescent="0.25">
      <c r="B29" s="2">
        <v>21</v>
      </c>
      <c r="C29" s="3" t="s">
        <v>20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37">
        <f t="shared" si="0"/>
        <v>0</v>
      </c>
    </row>
    <row r="30" spans="2:53" x14ac:dyDescent="0.25">
      <c r="B30" s="2">
        <v>22</v>
      </c>
      <c r="C30" s="3" t="s">
        <v>21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37">
        <f t="shared" si="0"/>
        <v>0</v>
      </c>
    </row>
    <row r="31" spans="2:53" x14ac:dyDescent="0.25">
      <c r="B31" s="2">
        <v>23</v>
      </c>
      <c r="C31" s="3" t="s">
        <v>22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37">
        <f t="shared" si="0"/>
        <v>0</v>
      </c>
    </row>
    <row r="32" spans="2:53" x14ac:dyDescent="0.25">
      <c r="B32" s="2">
        <v>24</v>
      </c>
      <c r="C32" s="3" t="s">
        <v>23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37">
        <f t="shared" si="0"/>
        <v>0</v>
      </c>
    </row>
    <row r="33" spans="2:16" x14ac:dyDescent="0.25">
      <c r="B33" s="2">
        <v>25</v>
      </c>
      <c r="C33" s="3" t="s">
        <v>24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37">
        <f t="shared" si="0"/>
        <v>0</v>
      </c>
    </row>
    <row r="34" spans="2:16" x14ac:dyDescent="0.25">
      <c r="B34" s="2">
        <v>26</v>
      </c>
      <c r="C34" s="3" t="s">
        <v>25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37">
        <f t="shared" si="0"/>
        <v>0</v>
      </c>
    </row>
    <row r="35" spans="2:16" x14ac:dyDescent="0.25">
      <c r="B35" s="2">
        <v>27</v>
      </c>
      <c r="C35" s="3" t="s">
        <v>26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37">
        <f t="shared" si="0"/>
        <v>0</v>
      </c>
    </row>
    <row r="36" spans="2:16" x14ac:dyDescent="0.25">
      <c r="B36" s="2">
        <v>28</v>
      </c>
      <c r="C36" s="3" t="s">
        <v>27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37">
        <f t="shared" si="0"/>
        <v>0</v>
      </c>
    </row>
    <row r="37" spans="2:16" x14ac:dyDescent="0.25">
      <c r="B37" s="2">
        <v>29</v>
      </c>
      <c r="C37" s="3" t="s">
        <v>28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37">
        <f t="shared" si="0"/>
        <v>0</v>
      </c>
    </row>
    <row r="38" spans="2:16" x14ac:dyDescent="0.25">
      <c r="B38" s="2">
        <v>30</v>
      </c>
      <c r="C38" s="3" t="s">
        <v>29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37">
        <f t="shared" si="0"/>
        <v>0</v>
      </c>
    </row>
    <row r="39" spans="2:16" x14ac:dyDescent="0.25">
      <c r="B39" s="2">
        <v>31</v>
      </c>
      <c r="C39" s="3" t="s">
        <v>30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37">
        <f t="shared" si="0"/>
        <v>0</v>
      </c>
    </row>
    <row r="40" spans="2:16" x14ac:dyDescent="0.25">
      <c r="B40" s="2">
        <v>32</v>
      </c>
      <c r="C40" s="3" t="s">
        <v>31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37">
        <f t="shared" si="0"/>
        <v>0</v>
      </c>
    </row>
    <row r="41" spans="2:16" x14ac:dyDescent="0.25">
      <c r="B41" s="2">
        <v>33</v>
      </c>
      <c r="C41" s="3" t="s">
        <v>32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37">
        <f t="shared" si="0"/>
        <v>0</v>
      </c>
    </row>
    <row r="42" spans="2:16" x14ac:dyDescent="0.25">
      <c r="B42" s="2">
        <v>34</v>
      </c>
      <c r="C42" s="3" t="s">
        <v>33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37">
        <f t="shared" si="0"/>
        <v>0</v>
      </c>
    </row>
    <row r="43" spans="2:16" x14ac:dyDescent="0.25">
      <c r="B43" s="2">
        <v>35</v>
      </c>
      <c r="C43" s="3" t="s">
        <v>34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37">
        <f t="shared" si="0"/>
        <v>0</v>
      </c>
    </row>
    <row r="44" spans="2:16" x14ac:dyDescent="0.25">
      <c r="B44" s="2">
        <v>36</v>
      </c>
      <c r="C44" s="3" t="s">
        <v>35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37">
        <f t="shared" si="0"/>
        <v>0</v>
      </c>
    </row>
    <row r="45" spans="2:16" ht="15" x14ac:dyDescent="0.25">
      <c r="C45" s="36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</row>
    <row r="46" spans="2:16" ht="15" x14ac:dyDescent="0.25">
      <c r="C46" s="38" t="s">
        <v>36</v>
      </c>
      <c r="D46" s="39">
        <f t="shared" ref="D46:P46" si="1">SUM(D9:D45)</f>
        <v>0</v>
      </c>
      <c r="E46" s="39">
        <f t="shared" si="1"/>
        <v>0</v>
      </c>
      <c r="F46" s="39">
        <f t="shared" si="1"/>
        <v>0</v>
      </c>
      <c r="G46" s="39">
        <f t="shared" si="1"/>
        <v>0</v>
      </c>
      <c r="H46" s="39">
        <f t="shared" si="1"/>
        <v>0</v>
      </c>
      <c r="I46" s="39">
        <f t="shared" si="1"/>
        <v>0</v>
      </c>
      <c r="J46" s="39">
        <f t="shared" si="1"/>
        <v>0</v>
      </c>
      <c r="K46" s="39">
        <f t="shared" si="1"/>
        <v>0</v>
      </c>
      <c r="L46" s="39">
        <f t="shared" si="1"/>
        <v>0</v>
      </c>
      <c r="M46" s="39">
        <f t="shared" si="1"/>
        <v>0</v>
      </c>
      <c r="N46" s="39">
        <f t="shared" si="1"/>
        <v>0</v>
      </c>
      <c r="O46" s="39">
        <f t="shared" si="1"/>
        <v>0</v>
      </c>
      <c r="P46" s="39">
        <f t="shared" si="1"/>
        <v>0</v>
      </c>
    </row>
  </sheetData>
  <mergeCells count="1">
    <mergeCell ref="B6:P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BA44"/>
  <sheetViews>
    <sheetView zoomScale="85" zoomScaleNormal="85" workbookViewId="0">
      <selection activeCell="D7" sqref="D7:O42"/>
    </sheetView>
  </sheetViews>
  <sheetFormatPr defaultRowHeight="18.75" x14ac:dyDescent="0.25"/>
  <cols>
    <col min="1" max="2" width="9.140625" style="2"/>
    <col min="3" max="3" width="37" style="1" customWidth="1"/>
    <col min="4" max="4" width="15.7109375" style="3" customWidth="1"/>
    <col min="5" max="16" width="15.7109375" style="2" customWidth="1"/>
    <col min="17" max="17" width="16" style="2" customWidth="1"/>
    <col min="18" max="18" width="16.28515625" style="2" customWidth="1"/>
    <col min="19" max="49" width="3.7109375" style="2" customWidth="1"/>
    <col min="50" max="50" width="9.140625" style="2"/>
    <col min="51" max="51" width="16.85546875" style="2" customWidth="1"/>
    <col min="52" max="52" width="16.42578125" style="2" customWidth="1"/>
    <col min="53" max="53" width="22.42578125" style="2" customWidth="1"/>
    <col min="54" max="16384" width="9.140625" style="2"/>
  </cols>
  <sheetData>
    <row r="4" spans="2:53" ht="15" x14ac:dyDescent="0.25">
      <c r="B4" s="74" t="s">
        <v>42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</row>
    <row r="5" spans="2:53" ht="15.75" thickBot="1" x14ac:dyDescent="0.3">
      <c r="B5" s="36" t="s">
        <v>60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2:53" ht="15.75" thickBot="1" x14ac:dyDescent="0.3">
      <c r="B6" s="40" t="s">
        <v>57</v>
      </c>
      <c r="C6" s="42" t="s">
        <v>58</v>
      </c>
      <c r="D6" s="41" t="s">
        <v>44</v>
      </c>
      <c r="E6" s="35" t="s">
        <v>45</v>
      </c>
      <c r="F6" s="35" t="s">
        <v>46</v>
      </c>
      <c r="G6" s="35" t="s">
        <v>47</v>
      </c>
      <c r="H6" s="35" t="s">
        <v>48</v>
      </c>
      <c r="I6" s="35" t="s">
        <v>49</v>
      </c>
      <c r="J6" s="35" t="s">
        <v>50</v>
      </c>
      <c r="K6" s="35" t="s">
        <v>51</v>
      </c>
      <c r="L6" s="35" t="s">
        <v>52</v>
      </c>
      <c r="M6" s="35" t="s">
        <v>53</v>
      </c>
      <c r="N6" s="35" t="s">
        <v>54</v>
      </c>
      <c r="O6" s="35" t="s">
        <v>55</v>
      </c>
      <c r="P6" s="35" t="s">
        <v>56</v>
      </c>
      <c r="R6" s="8" t="s">
        <v>37</v>
      </c>
      <c r="S6" s="64">
        <v>1</v>
      </c>
      <c r="T6" s="32">
        <v>2</v>
      </c>
      <c r="U6" s="32">
        <v>3</v>
      </c>
      <c r="V6" s="32">
        <v>4</v>
      </c>
      <c r="W6" s="32">
        <v>5</v>
      </c>
      <c r="X6" s="32">
        <v>6</v>
      </c>
      <c r="Y6" s="32">
        <v>7</v>
      </c>
      <c r="Z6" s="32">
        <v>8</v>
      </c>
      <c r="AA6" s="32">
        <v>9</v>
      </c>
      <c r="AB6" s="32">
        <v>10</v>
      </c>
      <c r="AC6" s="32">
        <v>11</v>
      </c>
      <c r="AD6" s="32">
        <v>12</v>
      </c>
      <c r="AE6" s="32">
        <v>13</v>
      </c>
      <c r="AF6" s="32">
        <v>14</v>
      </c>
      <c r="AG6" s="32">
        <v>15</v>
      </c>
      <c r="AH6" s="32">
        <v>16</v>
      </c>
      <c r="AI6" s="32">
        <v>17</v>
      </c>
      <c r="AJ6" s="32">
        <v>18</v>
      </c>
      <c r="AK6" s="32">
        <v>19</v>
      </c>
      <c r="AL6" s="32">
        <v>20</v>
      </c>
      <c r="AM6" s="32">
        <v>21</v>
      </c>
      <c r="AN6" s="32">
        <v>22</v>
      </c>
      <c r="AO6" s="32">
        <v>23</v>
      </c>
      <c r="AP6" s="32">
        <v>24</v>
      </c>
      <c r="AQ6" s="32">
        <v>25</v>
      </c>
      <c r="AR6" s="32">
        <v>26</v>
      </c>
      <c r="AS6" s="32">
        <v>27</v>
      </c>
      <c r="AT6" s="32">
        <v>28</v>
      </c>
      <c r="AU6" s="32">
        <v>29</v>
      </c>
      <c r="AV6" s="32">
        <v>30</v>
      </c>
      <c r="AW6" s="33">
        <v>31</v>
      </c>
      <c r="AY6" s="31" t="s">
        <v>40</v>
      </c>
      <c r="AZ6" s="32" t="s">
        <v>41</v>
      </c>
      <c r="BA6" s="33" t="s">
        <v>38</v>
      </c>
    </row>
    <row r="7" spans="2:53" x14ac:dyDescent="0.25">
      <c r="B7" s="2">
        <v>1</v>
      </c>
      <c r="C7" s="3" t="s">
        <v>0</v>
      </c>
      <c r="D7" s="75" t="s">
        <v>39</v>
      </c>
      <c r="E7" s="75" t="s">
        <v>39</v>
      </c>
      <c r="F7" s="75" t="s">
        <v>39</v>
      </c>
      <c r="G7" s="75" t="s">
        <v>39</v>
      </c>
      <c r="H7" s="75" t="s">
        <v>39</v>
      </c>
      <c r="I7" s="75" t="s">
        <v>39</v>
      </c>
      <c r="J7" s="75" t="s">
        <v>39</v>
      </c>
      <c r="K7" s="75">
        <v>0</v>
      </c>
      <c r="L7" s="75">
        <v>0</v>
      </c>
      <c r="M7" s="75">
        <v>0</v>
      </c>
      <c r="N7" s="75">
        <v>0</v>
      </c>
      <c r="O7" s="75">
        <v>1</v>
      </c>
      <c r="P7" s="37">
        <f>SUM(D7:O7)</f>
        <v>1</v>
      </c>
      <c r="R7" s="7">
        <v>43922</v>
      </c>
      <c r="S7" s="65"/>
      <c r="T7" s="66"/>
      <c r="U7" s="66"/>
      <c r="V7" s="67"/>
      <c r="W7" s="67"/>
      <c r="X7" s="67"/>
      <c r="Y7" s="67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8"/>
      <c r="AY7" s="28"/>
      <c r="AZ7" s="29"/>
      <c r="BA7" s="30"/>
    </row>
    <row r="8" spans="2:53" x14ac:dyDescent="0.25">
      <c r="B8" s="2">
        <v>2</v>
      </c>
      <c r="C8" s="3" t="s">
        <v>1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37">
        <f t="shared" ref="P8:P42" si="0">SUM(D8:O8)</f>
        <v>0</v>
      </c>
      <c r="R8" s="7">
        <v>43952</v>
      </c>
      <c r="S8" s="69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34"/>
      <c r="AY8" s="23"/>
      <c r="AZ8" s="22"/>
      <c r="BA8" s="24"/>
    </row>
    <row r="9" spans="2:53" x14ac:dyDescent="0.25">
      <c r="B9" s="2">
        <v>3</v>
      </c>
      <c r="C9" s="3" t="s">
        <v>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37">
        <f t="shared" si="0"/>
        <v>0</v>
      </c>
      <c r="R9" s="7">
        <v>43983</v>
      </c>
      <c r="S9" s="55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4"/>
      <c r="AW9" s="45"/>
      <c r="AX9" s="60"/>
      <c r="AY9" s="20"/>
      <c r="AZ9" s="14"/>
      <c r="BA9" s="15"/>
    </row>
    <row r="10" spans="2:53" x14ac:dyDescent="0.25">
      <c r="B10" s="2">
        <v>4</v>
      </c>
      <c r="C10" s="3" t="s">
        <v>3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37">
        <f t="shared" si="0"/>
        <v>0</v>
      </c>
      <c r="R10" s="7">
        <v>44013</v>
      </c>
      <c r="S10" s="55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4"/>
      <c r="AW10" s="45"/>
      <c r="AX10" s="60"/>
      <c r="AY10" s="61"/>
      <c r="AZ10" s="62"/>
      <c r="BA10" s="63"/>
    </row>
    <row r="11" spans="2:53" x14ac:dyDescent="0.25">
      <c r="B11" s="2">
        <v>5</v>
      </c>
      <c r="C11" s="3" t="s">
        <v>4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37">
        <f t="shared" si="0"/>
        <v>0</v>
      </c>
      <c r="R11" s="7">
        <v>44044</v>
      </c>
      <c r="S11" s="52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45"/>
      <c r="AX11" s="60"/>
      <c r="AY11" s="61"/>
      <c r="AZ11" s="62"/>
      <c r="BA11" s="63"/>
    </row>
    <row r="12" spans="2:53" x14ac:dyDescent="0.25">
      <c r="B12" s="2">
        <v>6</v>
      </c>
      <c r="C12" s="3" t="s">
        <v>5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37">
        <f t="shared" si="0"/>
        <v>0</v>
      </c>
      <c r="R12" s="7">
        <v>44075</v>
      </c>
      <c r="S12" s="69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34"/>
      <c r="AY12" s="23"/>
      <c r="AZ12" s="22"/>
      <c r="BA12" s="24"/>
    </row>
    <row r="13" spans="2:53" x14ac:dyDescent="0.25">
      <c r="B13" s="2">
        <v>7</v>
      </c>
      <c r="C13" s="3" t="s">
        <v>6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37">
        <f t="shared" si="0"/>
        <v>0</v>
      </c>
      <c r="R13" s="7">
        <v>44105</v>
      </c>
      <c r="S13" s="69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34"/>
      <c r="AY13" s="23"/>
      <c r="AZ13" s="22"/>
      <c r="BA13" s="24"/>
    </row>
    <row r="14" spans="2:53" x14ac:dyDescent="0.25">
      <c r="B14" s="2">
        <v>8</v>
      </c>
      <c r="C14" s="3" t="s">
        <v>7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37">
        <f t="shared" si="0"/>
        <v>0</v>
      </c>
      <c r="R14" s="7">
        <v>44136</v>
      </c>
      <c r="S14" s="69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34"/>
      <c r="AY14" s="23"/>
      <c r="AZ14" s="22"/>
      <c r="BA14" s="24"/>
    </row>
    <row r="15" spans="2:53" x14ac:dyDescent="0.25">
      <c r="B15" s="2">
        <v>9</v>
      </c>
      <c r="C15" s="3" t="s">
        <v>8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37">
        <f t="shared" si="0"/>
        <v>0</v>
      </c>
      <c r="R15" s="7">
        <v>44166</v>
      </c>
      <c r="S15" s="52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45"/>
      <c r="AY15" s="23"/>
      <c r="AZ15" s="22"/>
      <c r="BA15" s="24"/>
    </row>
    <row r="16" spans="2:53" x14ac:dyDescent="0.25">
      <c r="B16" s="2">
        <v>10</v>
      </c>
      <c r="C16" s="3" t="s">
        <v>9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37">
        <f t="shared" si="0"/>
        <v>0</v>
      </c>
      <c r="R16" s="7">
        <v>44197</v>
      </c>
      <c r="S16" s="52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45"/>
      <c r="AY16" s="23"/>
      <c r="AZ16" s="22"/>
      <c r="BA16" s="24"/>
    </row>
    <row r="17" spans="2:53" x14ac:dyDescent="0.25">
      <c r="B17" s="2">
        <v>11</v>
      </c>
      <c r="C17" s="3" t="s">
        <v>10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37">
        <f t="shared" si="0"/>
        <v>0</v>
      </c>
      <c r="R17" s="7">
        <v>44228</v>
      </c>
      <c r="S17" s="69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34"/>
      <c r="AY17" s="23"/>
      <c r="AZ17" s="22"/>
      <c r="BA17" s="24"/>
    </row>
    <row r="18" spans="2:53" ht="19.5" thickBot="1" x14ac:dyDescent="0.3">
      <c r="B18" s="2">
        <v>12</v>
      </c>
      <c r="C18" s="3" t="s">
        <v>11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37">
        <f t="shared" si="0"/>
        <v>0</v>
      </c>
      <c r="R18" s="7">
        <v>44256</v>
      </c>
      <c r="S18" s="71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3"/>
      <c r="AY18" s="25"/>
      <c r="AZ18" s="26"/>
      <c r="BA18" s="27"/>
    </row>
    <row r="19" spans="2:53" x14ac:dyDescent="0.25">
      <c r="B19" s="2">
        <v>13</v>
      </c>
      <c r="C19" s="3" t="s">
        <v>12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37">
        <f t="shared" si="0"/>
        <v>0</v>
      </c>
    </row>
    <row r="20" spans="2:53" x14ac:dyDescent="0.25">
      <c r="B20" s="2">
        <v>14</v>
      </c>
      <c r="C20" s="3" t="s">
        <v>13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37">
        <f t="shared" si="0"/>
        <v>0</v>
      </c>
    </row>
    <row r="21" spans="2:53" x14ac:dyDescent="0.25">
      <c r="B21" s="2">
        <v>15</v>
      </c>
      <c r="C21" s="3" t="s">
        <v>14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37">
        <f t="shared" si="0"/>
        <v>0</v>
      </c>
    </row>
    <row r="22" spans="2:53" x14ac:dyDescent="0.25">
      <c r="B22" s="2">
        <v>16</v>
      </c>
      <c r="C22" s="3" t="s">
        <v>15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37">
        <f t="shared" si="0"/>
        <v>0</v>
      </c>
    </row>
    <row r="23" spans="2:53" x14ac:dyDescent="0.25">
      <c r="B23" s="2">
        <v>17</v>
      </c>
      <c r="C23" s="3" t="s">
        <v>16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37">
        <f t="shared" si="0"/>
        <v>0</v>
      </c>
    </row>
    <row r="24" spans="2:53" x14ac:dyDescent="0.25">
      <c r="B24" s="2">
        <v>18</v>
      </c>
      <c r="C24" s="3" t="s">
        <v>17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37">
        <f t="shared" si="0"/>
        <v>0</v>
      </c>
    </row>
    <row r="25" spans="2:53" x14ac:dyDescent="0.25">
      <c r="B25" s="2">
        <v>19</v>
      </c>
      <c r="C25" s="3" t="s">
        <v>18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37">
        <f t="shared" si="0"/>
        <v>0</v>
      </c>
    </row>
    <row r="26" spans="2:53" x14ac:dyDescent="0.25">
      <c r="B26" s="2">
        <v>20</v>
      </c>
      <c r="C26" s="3" t="s">
        <v>19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37">
        <f t="shared" si="0"/>
        <v>0</v>
      </c>
    </row>
    <row r="27" spans="2:53" x14ac:dyDescent="0.25">
      <c r="B27" s="2">
        <v>21</v>
      </c>
      <c r="C27" s="3" t="s">
        <v>20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37">
        <f t="shared" si="0"/>
        <v>0</v>
      </c>
    </row>
    <row r="28" spans="2:53" x14ac:dyDescent="0.25">
      <c r="B28" s="2">
        <v>22</v>
      </c>
      <c r="C28" s="3" t="s">
        <v>21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37">
        <f t="shared" si="0"/>
        <v>0</v>
      </c>
    </row>
    <row r="29" spans="2:53" x14ac:dyDescent="0.25">
      <c r="B29" s="2">
        <v>23</v>
      </c>
      <c r="C29" s="3" t="s">
        <v>22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37">
        <f t="shared" si="0"/>
        <v>0</v>
      </c>
    </row>
    <row r="30" spans="2:53" x14ac:dyDescent="0.25">
      <c r="B30" s="2">
        <v>24</v>
      </c>
      <c r="C30" s="3" t="s">
        <v>23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37">
        <f t="shared" si="0"/>
        <v>0</v>
      </c>
    </row>
    <row r="31" spans="2:53" x14ac:dyDescent="0.25">
      <c r="B31" s="2">
        <v>25</v>
      </c>
      <c r="C31" s="3" t="s">
        <v>24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37">
        <f t="shared" si="0"/>
        <v>0</v>
      </c>
    </row>
    <row r="32" spans="2:53" x14ac:dyDescent="0.25">
      <c r="B32" s="2">
        <v>26</v>
      </c>
      <c r="C32" s="3" t="s">
        <v>25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37">
        <f t="shared" si="0"/>
        <v>0</v>
      </c>
    </row>
    <row r="33" spans="2:16" x14ac:dyDescent="0.25">
      <c r="B33" s="2">
        <v>27</v>
      </c>
      <c r="C33" s="3" t="s">
        <v>26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37">
        <f t="shared" si="0"/>
        <v>0</v>
      </c>
    </row>
    <row r="34" spans="2:16" x14ac:dyDescent="0.25">
      <c r="B34" s="2">
        <v>28</v>
      </c>
      <c r="C34" s="3" t="s">
        <v>27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37">
        <f t="shared" si="0"/>
        <v>0</v>
      </c>
    </row>
    <row r="35" spans="2:16" x14ac:dyDescent="0.25">
      <c r="B35" s="2">
        <v>29</v>
      </c>
      <c r="C35" s="3" t="s">
        <v>28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37">
        <f t="shared" si="0"/>
        <v>0</v>
      </c>
    </row>
    <row r="36" spans="2:16" x14ac:dyDescent="0.25">
      <c r="B36" s="2">
        <v>30</v>
      </c>
      <c r="C36" s="3" t="s">
        <v>29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37">
        <f t="shared" si="0"/>
        <v>0</v>
      </c>
    </row>
    <row r="37" spans="2:16" x14ac:dyDescent="0.25">
      <c r="B37" s="2">
        <v>31</v>
      </c>
      <c r="C37" s="3" t="s">
        <v>30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37">
        <f t="shared" si="0"/>
        <v>0</v>
      </c>
    </row>
    <row r="38" spans="2:16" x14ac:dyDescent="0.25">
      <c r="B38" s="2">
        <v>32</v>
      </c>
      <c r="C38" s="3" t="s">
        <v>31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37">
        <f t="shared" si="0"/>
        <v>0</v>
      </c>
    </row>
    <row r="39" spans="2:16" x14ac:dyDescent="0.25">
      <c r="B39" s="2">
        <v>33</v>
      </c>
      <c r="C39" s="3" t="s">
        <v>32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37">
        <f t="shared" si="0"/>
        <v>0</v>
      </c>
    </row>
    <row r="40" spans="2:16" x14ac:dyDescent="0.25">
      <c r="B40" s="2">
        <v>34</v>
      </c>
      <c r="C40" s="3" t="s">
        <v>33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37">
        <f t="shared" si="0"/>
        <v>0</v>
      </c>
    </row>
    <row r="41" spans="2:16" x14ac:dyDescent="0.25">
      <c r="B41" s="2">
        <v>35</v>
      </c>
      <c r="C41" s="3" t="s">
        <v>34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37">
        <f t="shared" si="0"/>
        <v>0</v>
      </c>
    </row>
    <row r="42" spans="2:16" x14ac:dyDescent="0.25">
      <c r="B42" s="2">
        <v>36</v>
      </c>
      <c r="C42" s="3" t="s">
        <v>35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37">
        <f t="shared" si="0"/>
        <v>0</v>
      </c>
    </row>
    <row r="43" spans="2:16" ht="15" x14ac:dyDescent="0.25">
      <c r="C43" s="36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</row>
    <row r="44" spans="2:16" ht="15" x14ac:dyDescent="0.25">
      <c r="C44" s="38" t="s">
        <v>36</v>
      </c>
      <c r="D44" s="39">
        <f t="shared" ref="D44:P44" si="1">SUM(D7:D43)</f>
        <v>0</v>
      </c>
      <c r="E44" s="39">
        <f t="shared" si="1"/>
        <v>0</v>
      </c>
      <c r="F44" s="39">
        <f t="shared" si="1"/>
        <v>0</v>
      </c>
      <c r="G44" s="39">
        <f t="shared" si="1"/>
        <v>0</v>
      </c>
      <c r="H44" s="39">
        <f t="shared" si="1"/>
        <v>0</v>
      </c>
      <c r="I44" s="39">
        <f t="shared" si="1"/>
        <v>0</v>
      </c>
      <c r="J44" s="39">
        <f t="shared" si="1"/>
        <v>0</v>
      </c>
      <c r="K44" s="39">
        <f t="shared" si="1"/>
        <v>0</v>
      </c>
      <c r="L44" s="39">
        <f t="shared" si="1"/>
        <v>0</v>
      </c>
      <c r="M44" s="39">
        <f t="shared" si="1"/>
        <v>0</v>
      </c>
      <c r="N44" s="39">
        <f t="shared" si="1"/>
        <v>0</v>
      </c>
      <c r="O44" s="39">
        <f t="shared" si="1"/>
        <v>1</v>
      </c>
      <c r="P44" s="39">
        <f t="shared" si="1"/>
        <v>1</v>
      </c>
    </row>
  </sheetData>
  <mergeCells count="1">
    <mergeCell ref="B4:P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BA46"/>
  <sheetViews>
    <sheetView zoomScale="85" zoomScaleNormal="85" workbookViewId="0">
      <selection activeCell="Q32" sqref="Q32"/>
    </sheetView>
  </sheetViews>
  <sheetFormatPr defaultRowHeight="18.75" x14ac:dyDescent="0.25"/>
  <cols>
    <col min="1" max="2" width="9.140625" style="2"/>
    <col min="3" max="3" width="34.140625" style="1" customWidth="1"/>
    <col min="4" max="4" width="15.7109375" style="3" customWidth="1"/>
    <col min="5" max="16" width="15.7109375" style="2" customWidth="1"/>
    <col min="17" max="17" width="16" style="2" customWidth="1"/>
    <col min="18" max="18" width="13.5703125" style="2" customWidth="1"/>
    <col min="19" max="49" width="3.7109375" style="2" customWidth="1"/>
    <col min="50" max="50" width="9.140625" style="2"/>
    <col min="51" max="51" width="13.28515625" style="2" customWidth="1"/>
    <col min="52" max="52" width="16.7109375" style="2" customWidth="1"/>
    <col min="53" max="53" width="17.42578125" style="2" customWidth="1"/>
    <col min="54" max="16384" width="9.140625" style="2"/>
  </cols>
  <sheetData>
    <row r="6" spans="2:53" ht="15" x14ac:dyDescent="0.25">
      <c r="B6" s="74" t="s">
        <v>42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2:53" ht="15.75" thickBot="1" x14ac:dyDescent="0.3">
      <c r="B7" s="36" t="s">
        <v>61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2:53" ht="15.75" thickBot="1" x14ac:dyDescent="0.3">
      <c r="B8" s="76" t="s">
        <v>57</v>
      </c>
      <c r="C8" s="77" t="s">
        <v>58</v>
      </c>
      <c r="D8" s="78" t="s">
        <v>44</v>
      </c>
      <c r="E8" s="79" t="s">
        <v>45</v>
      </c>
      <c r="F8" s="79" t="s">
        <v>46</v>
      </c>
      <c r="G8" s="79" t="s">
        <v>47</v>
      </c>
      <c r="H8" s="79" t="s">
        <v>48</v>
      </c>
      <c r="I8" s="79" t="s">
        <v>49</v>
      </c>
      <c r="J8" s="79" t="s">
        <v>50</v>
      </c>
      <c r="K8" s="79" t="s">
        <v>51</v>
      </c>
      <c r="L8" s="79" t="s">
        <v>52</v>
      </c>
      <c r="M8" s="79" t="s">
        <v>53</v>
      </c>
      <c r="N8" s="79" t="s">
        <v>54</v>
      </c>
      <c r="O8" s="79" t="s">
        <v>55</v>
      </c>
      <c r="P8" s="79" t="s">
        <v>56</v>
      </c>
      <c r="R8" s="8" t="s">
        <v>37</v>
      </c>
      <c r="S8" s="9">
        <v>1</v>
      </c>
      <c r="T8" s="10">
        <v>2</v>
      </c>
      <c r="U8" s="10">
        <v>3</v>
      </c>
      <c r="V8" s="10">
        <v>4</v>
      </c>
      <c r="W8" s="10">
        <v>5</v>
      </c>
      <c r="X8" s="10">
        <v>6</v>
      </c>
      <c r="Y8" s="10">
        <v>7</v>
      </c>
      <c r="Z8" s="10">
        <v>8</v>
      </c>
      <c r="AA8" s="10">
        <v>9</v>
      </c>
      <c r="AB8" s="10">
        <v>10</v>
      </c>
      <c r="AC8" s="10">
        <v>11</v>
      </c>
      <c r="AD8" s="10">
        <v>12</v>
      </c>
      <c r="AE8" s="10">
        <v>13</v>
      </c>
      <c r="AF8" s="10">
        <v>14</v>
      </c>
      <c r="AG8" s="10">
        <v>15</v>
      </c>
      <c r="AH8" s="10">
        <v>16</v>
      </c>
      <c r="AI8" s="10">
        <v>17</v>
      </c>
      <c r="AJ8" s="10">
        <v>18</v>
      </c>
      <c r="AK8" s="10">
        <v>19</v>
      </c>
      <c r="AL8" s="10">
        <v>20</v>
      </c>
      <c r="AM8" s="10">
        <v>21</v>
      </c>
      <c r="AN8" s="10">
        <v>22</v>
      </c>
      <c r="AO8" s="10">
        <v>23</v>
      </c>
      <c r="AP8" s="10">
        <v>24</v>
      </c>
      <c r="AQ8" s="10">
        <v>25</v>
      </c>
      <c r="AR8" s="10">
        <v>26</v>
      </c>
      <c r="AS8" s="10">
        <v>27</v>
      </c>
      <c r="AT8" s="10">
        <v>28</v>
      </c>
      <c r="AU8" s="10">
        <v>29</v>
      </c>
      <c r="AV8" s="10">
        <v>30</v>
      </c>
      <c r="AW8" s="6">
        <v>31</v>
      </c>
      <c r="AY8" s="31" t="s">
        <v>40</v>
      </c>
      <c r="AZ8" s="32" t="s">
        <v>41</v>
      </c>
      <c r="BA8" s="33" t="s">
        <v>38</v>
      </c>
    </row>
    <row r="9" spans="2:53" x14ac:dyDescent="0.25">
      <c r="B9" s="83">
        <v>1</v>
      </c>
      <c r="C9" s="84" t="s">
        <v>0</v>
      </c>
      <c r="D9" s="85" t="s">
        <v>39</v>
      </c>
      <c r="E9" s="86">
        <v>15</v>
      </c>
      <c r="F9" s="86">
        <v>40</v>
      </c>
      <c r="G9" s="86">
        <v>25</v>
      </c>
      <c r="H9" s="85" t="s">
        <v>39</v>
      </c>
      <c r="I9" s="85">
        <v>0</v>
      </c>
      <c r="J9" s="85">
        <v>18</v>
      </c>
      <c r="K9" s="86">
        <v>1</v>
      </c>
      <c r="L9" s="86">
        <v>0</v>
      </c>
      <c r="M9" s="86">
        <v>5</v>
      </c>
      <c r="N9" s="85">
        <v>0</v>
      </c>
      <c r="O9" s="86">
        <v>1</v>
      </c>
      <c r="P9" s="93">
        <f>SUM(D9:O9)</f>
        <v>105</v>
      </c>
      <c r="R9" s="7">
        <v>44287</v>
      </c>
      <c r="S9" s="16"/>
      <c r="T9" s="17"/>
      <c r="U9" s="17"/>
      <c r="V9" s="18"/>
      <c r="W9" s="18"/>
      <c r="X9" s="18"/>
      <c r="Y9" s="18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9"/>
      <c r="AY9" s="28"/>
      <c r="AZ9" s="29"/>
      <c r="BA9" s="30"/>
    </row>
    <row r="10" spans="2:53" x14ac:dyDescent="0.25">
      <c r="B10" s="87">
        <v>2</v>
      </c>
      <c r="C10" s="80" t="s">
        <v>1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91">
        <f t="shared" ref="P10:P44" si="0">SUM(D10:O10)</f>
        <v>0</v>
      </c>
      <c r="R10" s="7">
        <v>44317</v>
      </c>
      <c r="S10" s="4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5"/>
      <c r="AY10" s="23"/>
      <c r="AZ10" s="22"/>
      <c r="BA10" s="24"/>
    </row>
    <row r="11" spans="2:53" x14ac:dyDescent="0.25">
      <c r="B11" s="87">
        <v>3</v>
      </c>
      <c r="C11" s="80" t="s">
        <v>2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91">
        <f t="shared" si="0"/>
        <v>0</v>
      </c>
      <c r="R11" s="7">
        <v>44348</v>
      </c>
      <c r="S11" s="49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51"/>
      <c r="AW11" s="45"/>
      <c r="AX11" s="60"/>
      <c r="AY11" s="20"/>
      <c r="AZ11" s="14"/>
      <c r="BA11" s="15"/>
    </row>
    <row r="12" spans="2:53" x14ac:dyDescent="0.25">
      <c r="B12" s="87">
        <v>4</v>
      </c>
      <c r="C12" s="80" t="s">
        <v>3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91">
        <f t="shared" si="0"/>
        <v>0</v>
      </c>
      <c r="R12" s="7">
        <v>44378</v>
      </c>
      <c r="S12" s="49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51"/>
      <c r="AW12" s="15"/>
      <c r="AX12" s="60"/>
      <c r="AY12" s="61"/>
      <c r="AZ12" s="62"/>
      <c r="BA12" s="63"/>
    </row>
    <row r="13" spans="2:53" x14ac:dyDescent="0.25">
      <c r="B13" s="87">
        <v>5</v>
      </c>
      <c r="C13" s="80" t="s">
        <v>4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91">
        <f t="shared" si="0"/>
        <v>0</v>
      </c>
      <c r="R13" s="7">
        <v>44409</v>
      </c>
      <c r="S13" s="20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5"/>
      <c r="AX13" s="60"/>
      <c r="AY13" s="61"/>
      <c r="AZ13" s="62"/>
      <c r="BA13" s="63"/>
    </row>
    <row r="14" spans="2:53" x14ac:dyDescent="0.25">
      <c r="B14" s="87">
        <v>6</v>
      </c>
      <c r="C14" s="80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91">
        <f t="shared" si="0"/>
        <v>0</v>
      </c>
      <c r="R14" s="7">
        <v>44440</v>
      </c>
      <c r="S14" s="4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5"/>
      <c r="AY14" s="23"/>
      <c r="AZ14" s="22"/>
      <c r="BA14" s="24"/>
    </row>
    <row r="15" spans="2:53" x14ac:dyDescent="0.25">
      <c r="B15" s="87">
        <v>7</v>
      </c>
      <c r="C15" s="80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91">
        <f t="shared" si="0"/>
        <v>0</v>
      </c>
      <c r="R15" s="7">
        <v>44470</v>
      </c>
      <c r="S15" s="4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5"/>
      <c r="AY15" s="23"/>
      <c r="AZ15" s="22"/>
      <c r="BA15" s="24"/>
    </row>
    <row r="16" spans="2:53" x14ac:dyDescent="0.25">
      <c r="B16" s="87">
        <v>8</v>
      </c>
      <c r="C16" s="80" t="s">
        <v>7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91">
        <f t="shared" si="0"/>
        <v>0</v>
      </c>
      <c r="R16" s="7">
        <v>44501</v>
      </c>
      <c r="S16" s="4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5"/>
      <c r="AY16" s="23"/>
      <c r="AZ16" s="22"/>
      <c r="BA16" s="24"/>
    </row>
    <row r="17" spans="2:53" x14ac:dyDescent="0.25">
      <c r="B17" s="87">
        <v>9</v>
      </c>
      <c r="C17" s="80" t="s">
        <v>8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91">
        <f t="shared" si="0"/>
        <v>0</v>
      </c>
      <c r="R17" s="7">
        <v>44531</v>
      </c>
      <c r="S17" s="20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5"/>
      <c r="AY17" s="23"/>
      <c r="AZ17" s="22"/>
      <c r="BA17" s="24"/>
    </row>
    <row r="18" spans="2:53" x14ac:dyDescent="0.25">
      <c r="B18" s="87">
        <v>10</v>
      </c>
      <c r="C18" s="80" t="s">
        <v>9</v>
      </c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91">
        <f t="shared" si="0"/>
        <v>0</v>
      </c>
      <c r="R18" s="7">
        <v>44562</v>
      </c>
      <c r="S18" s="20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Y18" s="23"/>
      <c r="AZ18" s="22"/>
      <c r="BA18" s="24"/>
    </row>
    <row r="19" spans="2:53" x14ac:dyDescent="0.25">
      <c r="B19" s="87">
        <v>11</v>
      </c>
      <c r="C19" s="80" t="s">
        <v>10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91">
        <f t="shared" si="0"/>
        <v>0</v>
      </c>
      <c r="R19" s="7">
        <v>44593</v>
      </c>
      <c r="S19" s="4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5"/>
      <c r="AY19" s="23"/>
      <c r="AZ19" s="22"/>
      <c r="BA19" s="24"/>
    </row>
    <row r="20" spans="2:53" ht="19.5" thickBot="1" x14ac:dyDescent="0.3">
      <c r="B20" s="87">
        <v>12</v>
      </c>
      <c r="C20" s="80" t="s">
        <v>11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91">
        <f t="shared" si="0"/>
        <v>0</v>
      </c>
      <c r="R20" s="7">
        <v>44621</v>
      </c>
      <c r="S20" s="21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3"/>
      <c r="AY20" s="25"/>
      <c r="AZ20" s="26"/>
      <c r="BA20" s="27"/>
    </row>
    <row r="21" spans="2:53" x14ac:dyDescent="0.25">
      <c r="B21" s="87">
        <v>13</v>
      </c>
      <c r="C21" s="80" t="s">
        <v>12</v>
      </c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91">
        <f t="shared" si="0"/>
        <v>0</v>
      </c>
    </row>
    <row r="22" spans="2:53" x14ac:dyDescent="0.25">
      <c r="B22" s="87">
        <v>14</v>
      </c>
      <c r="C22" s="80" t="s">
        <v>13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91">
        <f t="shared" si="0"/>
        <v>0</v>
      </c>
    </row>
    <row r="23" spans="2:53" x14ac:dyDescent="0.25">
      <c r="B23" s="87">
        <v>15</v>
      </c>
      <c r="C23" s="80" t="s">
        <v>14</v>
      </c>
      <c r="D23" s="81"/>
      <c r="E23" s="82">
        <v>15</v>
      </c>
      <c r="F23" s="82">
        <v>25</v>
      </c>
      <c r="G23" s="82">
        <v>10</v>
      </c>
      <c r="H23" s="81"/>
      <c r="I23" s="81"/>
      <c r="J23" s="82">
        <v>10</v>
      </c>
      <c r="K23" s="81"/>
      <c r="L23" s="81"/>
      <c r="M23" s="81"/>
      <c r="N23" s="81"/>
      <c r="O23" s="81"/>
      <c r="P23" s="94">
        <f t="shared" si="0"/>
        <v>60</v>
      </c>
    </row>
    <row r="24" spans="2:53" x14ac:dyDescent="0.25">
      <c r="B24" s="87">
        <v>16</v>
      </c>
      <c r="C24" s="80" t="s">
        <v>15</v>
      </c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91">
        <f t="shared" si="0"/>
        <v>0</v>
      </c>
    </row>
    <row r="25" spans="2:53" x14ac:dyDescent="0.25">
      <c r="B25" s="87">
        <v>17</v>
      </c>
      <c r="C25" s="80" t="s">
        <v>16</v>
      </c>
      <c r="D25" s="81"/>
      <c r="E25" s="81"/>
      <c r="F25" s="81">
        <v>6</v>
      </c>
      <c r="G25" s="81"/>
      <c r="H25" s="81"/>
      <c r="I25" s="81"/>
      <c r="J25" s="81"/>
      <c r="K25" s="81"/>
      <c r="L25" s="81"/>
      <c r="M25" s="81"/>
      <c r="N25" s="81"/>
      <c r="O25" s="81"/>
      <c r="P25" s="91">
        <f t="shared" si="0"/>
        <v>6</v>
      </c>
    </row>
    <row r="26" spans="2:53" x14ac:dyDescent="0.25">
      <c r="B26" s="87">
        <v>18</v>
      </c>
      <c r="C26" s="80" t="s">
        <v>17</v>
      </c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91">
        <f t="shared" si="0"/>
        <v>0</v>
      </c>
    </row>
    <row r="27" spans="2:53" x14ac:dyDescent="0.25">
      <c r="B27" s="87">
        <v>19</v>
      </c>
      <c r="C27" s="80" t="s">
        <v>18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91">
        <f t="shared" si="0"/>
        <v>0</v>
      </c>
    </row>
    <row r="28" spans="2:53" x14ac:dyDescent="0.25">
      <c r="B28" s="87">
        <v>20</v>
      </c>
      <c r="C28" s="80" t="s">
        <v>19</v>
      </c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91">
        <f t="shared" si="0"/>
        <v>0</v>
      </c>
    </row>
    <row r="29" spans="2:53" x14ac:dyDescent="0.25">
      <c r="B29" s="87">
        <v>21</v>
      </c>
      <c r="C29" s="80" t="s">
        <v>20</v>
      </c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91">
        <f t="shared" si="0"/>
        <v>0</v>
      </c>
    </row>
    <row r="30" spans="2:53" x14ac:dyDescent="0.25">
      <c r="B30" s="87">
        <v>22</v>
      </c>
      <c r="C30" s="80" t="s">
        <v>21</v>
      </c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91">
        <f t="shared" si="0"/>
        <v>0</v>
      </c>
    </row>
    <row r="31" spans="2:53" x14ac:dyDescent="0.25">
      <c r="B31" s="87">
        <v>23</v>
      </c>
      <c r="C31" s="80" t="s">
        <v>22</v>
      </c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91">
        <f t="shared" si="0"/>
        <v>0</v>
      </c>
    </row>
    <row r="32" spans="2:53" x14ac:dyDescent="0.25">
      <c r="B32" s="87">
        <v>24</v>
      </c>
      <c r="C32" s="80" t="s">
        <v>23</v>
      </c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91">
        <f t="shared" si="0"/>
        <v>0</v>
      </c>
    </row>
    <row r="33" spans="2:16" x14ac:dyDescent="0.25">
      <c r="B33" s="87">
        <v>25</v>
      </c>
      <c r="C33" s="80" t="s">
        <v>24</v>
      </c>
      <c r="D33" s="81"/>
      <c r="E33" s="81">
        <v>14</v>
      </c>
      <c r="F33" s="81">
        <v>25</v>
      </c>
      <c r="G33" s="81">
        <v>10</v>
      </c>
      <c r="H33" s="81"/>
      <c r="I33" s="81"/>
      <c r="J33" s="81">
        <v>10</v>
      </c>
      <c r="K33" s="81"/>
      <c r="L33" s="81"/>
      <c r="M33" s="81"/>
      <c r="N33" s="81"/>
      <c r="O33" s="81"/>
      <c r="P33" s="94">
        <f t="shared" si="0"/>
        <v>59</v>
      </c>
    </row>
    <row r="34" spans="2:16" x14ac:dyDescent="0.25">
      <c r="B34" s="87">
        <v>26</v>
      </c>
      <c r="C34" s="80" t="s">
        <v>25</v>
      </c>
      <c r="D34" s="81"/>
      <c r="E34" s="81">
        <v>0</v>
      </c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91">
        <f t="shared" si="0"/>
        <v>0</v>
      </c>
    </row>
    <row r="35" spans="2:16" x14ac:dyDescent="0.25">
      <c r="B35" s="87">
        <v>27</v>
      </c>
      <c r="C35" s="80" t="s">
        <v>26</v>
      </c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91">
        <f t="shared" si="0"/>
        <v>0</v>
      </c>
    </row>
    <row r="36" spans="2:16" x14ac:dyDescent="0.25">
      <c r="B36" s="87">
        <v>28</v>
      </c>
      <c r="C36" s="80" t="s">
        <v>27</v>
      </c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91">
        <f t="shared" si="0"/>
        <v>0</v>
      </c>
    </row>
    <row r="37" spans="2:16" x14ac:dyDescent="0.25">
      <c r="B37" s="87">
        <v>29</v>
      </c>
      <c r="C37" s="80" t="s">
        <v>28</v>
      </c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91">
        <f t="shared" si="0"/>
        <v>0</v>
      </c>
    </row>
    <row r="38" spans="2:16" x14ac:dyDescent="0.25">
      <c r="B38" s="87">
        <v>30</v>
      </c>
      <c r="C38" s="80" t="s">
        <v>29</v>
      </c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91">
        <f t="shared" si="0"/>
        <v>0</v>
      </c>
    </row>
    <row r="39" spans="2:16" x14ac:dyDescent="0.25">
      <c r="B39" s="87">
        <v>31</v>
      </c>
      <c r="C39" s="80" t="s">
        <v>30</v>
      </c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91">
        <f t="shared" si="0"/>
        <v>0</v>
      </c>
    </row>
    <row r="40" spans="2:16" x14ac:dyDescent="0.25">
      <c r="B40" s="87">
        <v>32</v>
      </c>
      <c r="C40" s="80" t="s">
        <v>31</v>
      </c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91">
        <f t="shared" si="0"/>
        <v>0</v>
      </c>
    </row>
    <row r="41" spans="2:16" x14ac:dyDescent="0.25">
      <c r="B41" s="87">
        <v>33</v>
      </c>
      <c r="C41" s="80" t="s">
        <v>32</v>
      </c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91">
        <f t="shared" si="0"/>
        <v>0</v>
      </c>
    </row>
    <row r="42" spans="2:16" x14ac:dyDescent="0.25">
      <c r="B42" s="87">
        <v>34</v>
      </c>
      <c r="C42" s="80" t="s">
        <v>33</v>
      </c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91">
        <f t="shared" si="0"/>
        <v>0</v>
      </c>
    </row>
    <row r="43" spans="2:16" x14ac:dyDescent="0.25">
      <c r="B43" s="87">
        <v>35</v>
      </c>
      <c r="C43" s="80" t="s">
        <v>34</v>
      </c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91">
        <f t="shared" si="0"/>
        <v>0</v>
      </c>
    </row>
    <row r="44" spans="2:16" ht="19.5" thickBot="1" x14ac:dyDescent="0.3">
      <c r="B44" s="88">
        <v>36</v>
      </c>
      <c r="C44" s="89" t="s">
        <v>35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2">
        <f t="shared" si="0"/>
        <v>0</v>
      </c>
    </row>
    <row r="45" spans="2:16" ht="15" x14ac:dyDescent="0.25">
      <c r="C45" s="36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</row>
    <row r="46" spans="2:16" ht="15" x14ac:dyDescent="0.25">
      <c r="C46" s="38" t="s">
        <v>36</v>
      </c>
      <c r="D46" s="39">
        <f t="shared" ref="D46:P46" si="1">SUM(D9:D45)</f>
        <v>0</v>
      </c>
      <c r="E46" s="39">
        <f t="shared" si="1"/>
        <v>44</v>
      </c>
      <c r="F46" s="39">
        <f t="shared" si="1"/>
        <v>96</v>
      </c>
      <c r="G46" s="39">
        <f t="shared" si="1"/>
        <v>45</v>
      </c>
      <c r="H46" s="39">
        <f t="shared" si="1"/>
        <v>0</v>
      </c>
      <c r="I46" s="39">
        <f t="shared" si="1"/>
        <v>0</v>
      </c>
      <c r="J46" s="39">
        <f t="shared" si="1"/>
        <v>38</v>
      </c>
      <c r="K46" s="39">
        <f t="shared" si="1"/>
        <v>1</v>
      </c>
      <c r="L46" s="39">
        <f t="shared" si="1"/>
        <v>0</v>
      </c>
      <c r="M46" s="39">
        <f t="shared" si="1"/>
        <v>5</v>
      </c>
      <c r="N46" s="39">
        <f t="shared" si="1"/>
        <v>0</v>
      </c>
      <c r="O46" s="39">
        <f t="shared" si="1"/>
        <v>1</v>
      </c>
      <c r="P46" s="39">
        <f t="shared" si="1"/>
        <v>230</v>
      </c>
    </row>
  </sheetData>
  <mergeCells count="1">
    <mergeCell ref="B6:P6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6:BA46"/>
  <sheetViews>
    <sheetView topLeftCell="A4" zoomScale="85" zoomScaleNormal="85" workbookViewId="0">
      <selection activeCell="F13" sqref="F13"/>
    </sheetView>
  </sheetViews>
  <sheetFormatPr defaultRowHeight="18.75" x14ac:dyDescent="0.25"/>
  <cols>
    <col min="1" max="2" width="9.140625" style="2"/>
    <col min="3" max="3" width="44" style="1" bestFit="1" customWidth="1"/>
    <col min="4" max="4" width="18.42578125" style="3" customWidth="1"/>
    <col min="5" max="5" width="10.28515625" style="2" bestFit="1" customWidth="1"/>
    <col min="6" max="6" width="11.5703125" style="2" customWidth="1"/>
    <col min="7" max="7" width="13.7109375" style="2" customWidth="1"/>
    <col min="8" max="8" width="11.140625" style="2" bestFit="1" customWidth="1"/>
    <col min="9" max="9" width="15" style="2" bestFit="1" customWidth="1"/>
    <col min="10" max="10" width="12" style="2" bestFit="1" customWidth="1"/>
    <col min="11" max="11" width="14.42578125" style="2" bestFit="1" customWidth="1"/>
    <col min="12" max="12" width="14.28515625" style="2" bestFit="1" customWidth="1"/>
    <col min="13" max="13" width="12.140625" style="2" bestFit="1" customWidth="1"/>
    <col min="14" max="14" width="13.42578125" style="2" bestFit="1" customWidth="1"/>
    <col min="15" max="16" width="10.28515625" style="2" bestFit="1" customWidth="1"/>
    <col min="17" max="17" width="16" style="2" customWidth="1"/>
    <col min="18" max="18" width="14.28515625" style="2" customWidth="1"/>
    <col min="19" max="49" width="3.7109375" style="2" customWidth="1"/>
    <col min="50" max="50" width="9.140625" style="2"/>
    <col min="51" max="51" width="16.7109375" style="2" customWidth="1"/>
    <col min="52" max="52" width="16.5703125" style="2" customWidth="1"/>
    <col min="53" max="53" width="14.28515625" style="2" customWidth="1"/>
    <col min="54" max="16384" width="9.140625" style="2"/>
  </cols>
  <sheetData>
    <row r="6" spans="2:53" ht="15" x14ac:dyDescent="0.25">
      <c r="B6" s="74" t="s">
        <v>42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2:53" ht="15.75" thickBot="1" x14ac:dyDescent="0.3">
      <c r="B7" s="36" t="s">
        <v>59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2:53" ht="15.75" thickBot="1" x14ac:dyDescent="0.3">
      <c r="B8" s="40" t="s">
        <v>57</v>
      </c>
      <c r="C8" s="42" t="s">
        <v>58</v>
      </c>
      <c r="D8" s="41" t="s">
        <v>44</v>
      </c>
      <c r="E8" s="35" t="s">
        <v>45</v>
      </c>
      <c r="F8" s="35" t="s">
        <v>46</v>
      </c>
      <c r="G8" s="35" t="s">
        <v>47</v>
      </c>
      <c r="H8" s="35" t="s">
        <v>48</v>
      </c>
      <c r="I8" s="35" t="s">
        <v>49</v>
      </c>
      <c r="J8" s="35" t="s">
        <v>50</v>
      </c>
      <c r="K8" s="35" t="s">
        <v>51</v>
      </c>
      <c r="L8" s="35" t="s">
        <v>52</v>
      </c>
      <c r="M8" s="35" t="s">
        <v>53</v>
      </c>
      <c r="N8" s="35" t="s">
        <v>54</v>
      </c>
      <c r="O8" s="35" t="s">
        <v>55</v>
      </c>
      <c r="P8" s="35" t="s">
        <v>56</v>
      </c>
      <c r="R8" s="8" t="s">
        <v>37</v>
      </c>
      <c r="S8" s="9">
        <v>1</v>
      </c>
      <c r="T8" s="10">
        <v>2</v>
      </c>
      <c r="U8" s="10">
        <v>3</v>
      </c>
      <c r="V8" s="10">
        <v>4</v>
      </c>
      <c r="W8" s="10">
        <v>5</v>
      </c>
      <c r="X8" s="10">
        <v>6</v>
      </c>
      <c r="Y8" s="10">
        <v>7</v>
      </c>
      <c r="Z8" s="10">
        <v>8</v>
      </c>
      <c r="AA8" s="10">
        <v>9</v>
      </c>
      <c r="AB8" s="10">
        <v>10</v>
      </c>
      <c r="AC8" s="10">
        <v>11</v>
      </c>
      <c r="AD8" s="10">
        <v>12</v>
      </c>
      <c r="AE8" s="10">
        <v>13</v>
      </c>
      <c r="AF8" s="10">
        <v>14</v>
      </c>
      <c r="AG8" s="10">
        <v>15</v>
      </c>
      <c r="AH8" s="10">
        <v>16</v>
      </c>
      <c r="AI8" s="10">
        <v>17</v>
      </c>
      <c r="AJ8" s="10">
        <v>18</v>
      </c>
      <c r="AK8" s="10">
        <v>19</v>
      </c>
      <c r="AL8" s="10">
        <v>20</v>
      </c>
      <c r="AM8" s="10">
        <v>21</v>
      </c>
      <c r="AN8" s="10">
        <v>22</v>
      </c>
      <c r="AO8" s="10">
        <v>23</v>
      </c>
      <c r="AP8" s="10">
        <v>24</v>
      </c>
      <c r="AQ8" s="10">
        <v>25</v>
      </c>
      <c r="AR8" s="10">
        <v>26</v>
      </c>
      <c r="AS8" s="10">
        <v>27</v>
      </c>
      <c r="AT8" s="10">
        <v>28</v>
      </c>
      <c r="AU8" s="10">
        <v>29</v>
      </c>
      <c r="AV8" s="10">
        <v>30</v>
      </c>
      <c r="AW8" s="6">
        <v>31</v>
      </c>
      <c r="AY8" s="31" t="s">
        <v>40</v>
      </c>
      <c r="AZ8" s="32" t="s">
        <v>41</v>
      </c>
      <c r="BA8" s="33" t="s">
        <v>38</v>
      </c>
    </row>
    <row r="9" spans="2:53" x14ac:dyDescent="0.25">
      <c r="B9" s="2">
        <v>1</v>
      </c>
      <c r="C9" s="3" t="s">
        <v>0</v>
      </c>
      <c r="D9" s="37" t="s">
        <v>39</v>
      </c>
      <c r="E9" s="37" t="s">
        <v>39</v>
      </c>
      <c r="F9" s="37">
        <v>30</v>
      </c>
      <c r="G9" s="37">
        <v>42</v>
      </c>
      <c r="H9" s="37">
        <v>14</v>
      </c>
      <c r="I9" s="37" t="s">
        <v>39</v>
      </c>
      <c r="J9" s="37">
        <v>12</v>
      </c>
      <c r="K9" s="37">
        <v>7</v>
      </c>
      <c r="L9" s="37">
        <v>0</v>
      </c>
      <c r="M9" s="37">
        <v>5</v>
      </c>
      <c r="N9" s="37">
        <v>0</v>
      </c>
      <c r="O9" s="37"/>
      <c r="P9" s="37">
        <f>SUM(D9:O9)</f>
        <v>110</v>
      </c>
      <c r="R9" s="7">
        <v>44652</v>
      </c>
      <c r="S9" s="43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44"/>
      <c r="AY9" s="28"/>
      <c r="AZ9" s="29"/>
      <c r="BA9" s="30"/>
    </row>
    <row r="10" spans="2:53" x14ac:dyDescent="0.25">
      <c r="B10" s="2">
        <v>2</v>
      </c>
      <c r="C10" s="3" t="s">
        <v>1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R10" s="7">
        <v>44682</v>
      </c>
      <c r="S10" s="49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5"/>
      <c r="AY10" s="23"/>
      <c r="AZ10" s="22"/>
      <c r="BA10" s="24"/>
    </row>
    <row r="11" spans="2:53" x14ac:dyDescent="0.25">
      <c r="B11" s="2">
        <v>3</v>
      </c>
      <c r="C11" s="3" t="s">
        <v>2</v>
      </c>
      <c r="D11" s="37"/>
      <c r="E11" s="37">
        <v>1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R11" s="7">
        <v>44713</v>
      </c>
      <c r="S11" s="49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45"/>
      <c r="AY11" s="14"/>
      <c r="AZ11" s="14"/>
      <c r="BA11" s="14"/>
    </row>
    <row r="12" spans="2:53" x14ac:dyDescent="0.25">
      <c r="B12" s="2">
        <v>4</v>
      </c>
      <c r="C12" s="3" t="s">
        <v>3</v>
      </c>
      <c r="D12" s="37"/>
      <c r="E12" s="37">
        <v>2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R12" s="7">
        <v>44743</v>
      </c>
      <c r="S12" s="49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5"/>
      <c r="AY12" s="23"/>
      <c r="AZ12" s="22"/>
      <c r="BA12" s="24"/>
    </row>
    <row r="13" spans="2:53" x14ac:dyDescent="0.25">
      <c r="B13" s="2">
        <v>5</v>
      </c>
      <c r="C13" s="3" t="s">
        <v>4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R13" s="7">
        <v>44774</v>
      </c>
      <c r="S13" s="49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5"/>
      <c r="AY13" s="23"/>
      <c r="AZ13" s="22"/>
      <c r="BA13" s="24"/>
    </row>
    <row r="14" spans="2:53" x14ac:dyDescent="0.25">
      <c r="B14" s="2">
        <v>6</v>
      </c>
      <c r="C14" s="3" t="s">
        <v>5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R14" s="7">
        <v>44805</v>
      </c>
      <c r="S14" s="49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5"/>
      <c r="AY14" s="23"/>
      <c r="AZ14" s="22"/>
      <c r="BA14" s="24"/>
    </row>
    <row r="15" spans="2:53" x14ac:dyDescent="0.25">
      <c r="B15" s="2">
        <v>7</v>
      </c>
      <c r="C15" s="3" t="s">
        <v>6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R15" s="7">
        <v>44835</v>
      </c>
      <c r="S15" s="49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5"/>
      <c r="AY15" s="23"/>
      <c r="AZ15" s="22"/>
      <c r="BA15" s="24"/>
    </row>
    <row r="16" spans="2:53" x14ac:dyDescent="0.25">
      <c r="B16" s="2">
        <v>8</v>
      </c>
      <c r="C16" s="3" t="s">
        <v>7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R16" s="7">
        <v>44866</v>
      </c>
      <c r="S16" s="20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5"/>
      <c r="AY16" s="23"/>
      <c r="AZ16" s="22"/>
      <c r="BA16" s="24"/>
    </row>
    <row r="17" spans="2:53" x14ac:dyDescent="0.25">
      <c r="B17" s="2">
        <v>9</v>
      </c>
      <c r="C17" s="3" t="s">
        <v>8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R17" s="7">
        <v>44896</v>
      </c>
      <c r="S17" s="20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5"/>
      <c r="AY17" s="23"/>
      <c r="AZ17" s="22"/>
      <c r="BA17" s="24"/>
    </row>
    <row r="18" spans="2:53" x14ac:dyDescent="0.25">
      <c r="B18" s="2">
        <v>10</v>
      </c>
      <c r="C18" s="3" t="s">
        <v>9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R18" s="7">
        <v>44927</v>
      </c>
      <c r="S18" s="20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Y18" s="23"/>
      <c r="AZ18" s="22"/>
      <c r="BA18" s="24"/>
    </row>
    <row r="19" spans="2:53" x14ac:dyDescent="0.25">
      <c r="B19" s="2">
        <v>11</v>
      </c>
      <c r="C19" s="3" t="s">
        <v>10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R19" s="7">
        <v>44958</v>
      </c>
      <c r="S19" s="20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5"/>
      <c r="AY19" s="23"/>
      <c r="AZ19" s="22"/>
      <c r="BA19" s="24"/>
    </row>
    <row r="20" spans="2:53" ht="19.5" thickBot="1" x14ac:dyDescent="0.3">
      <c r="B20" s="2">
        <v>12</v>
      </c>
      <c r="C20" s="3" t="s">
        <v>11</v>
      </c>
      <c r="D20" s="37"/>
      <c r="E20" s="37"/>
      <c r="F20" s="37"/>
      <c r="G20" s="37"/>
      <c r="H20" s="37"/>
      <c r="I20" s="37">
        <v>1</v>
      </c>
      <c r="J20" s="37"/>
      <c r="K20" s="37">
        <v>4</v>
      </c>
      <c r="L20" s="37"/>
      <c r="M20" s="37">
        <v>4</v>
      </c>
      <c r="N20" s="37"/>
      <c r="O20" s="37"/>
      <c r="P20" s="37"/>
      <c r="R20" s="7">
        <v>44986</v>
      </c>
      <c r="S20" s="46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8"/>
      <c r="AY20" s="25"/>
      <c r="AZ20" s="26"/>
      <c r="BA20" s="27"/>
    </row>
    <row r="21" spans="2:53" x14ac:dyDescent="0.25">
      <c r="B21" s="2">
        <v>13</v>
      </c>
      <c r="C21" s="3" t="s">
        <v>12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</row>
    <row r="22" spans="2:53" x14ac:dyDescent="0.25">
      <c r="B22" s="2">
        <v>14</v>
      </c>
      <c r="C22" s="3" t="s">
        <v>13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spans="2:53" x14ac:dyDescent="0.25">
      <c r="B23" s="2">
        <v>15</v>
      </c>
      <c r="C23" s="3" t="s">
        <v>14</v>
      </c>
      <c r="D23" s="37"/>
      <c r="E23" s="37"/>
      <c r="F23" s="37">
        <v>18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</row>
    <row r="24" spans="2:53" x14ac:dyDescent="0.25">
      <c r="B24" s="2">
        <v>16</v>
      </c>
      <c r="C24" s="3" t="s">
        <v>15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2:53" x14ac:dyDescent="0.25">
      <c r="B25" s="2">
        <v>17</v>
      </c>
      <c r="C25" s="3" t="s">
        <v>16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</row>
    <row r="26" spans="2:53" x14ac:dyDescent="0.25">
      <c r="B26" s="2">
        <v>18</v>
      </c>
      <c r="C26" s="3" t="s">
        <v>17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</row>
    <row r="27" spans="2:53" x14ac:dyDescent="0.25">
      <c r="B27" s="2">
        <v>19</v>
      </c>
      <c r="C27" s="3" t="s">
        <v>18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2:53" x14ac:dyDescent="0.25">
      <c r="B28" s="2">
        <v>20</v>
      </c>
      <c r="C28" s="3" t="s">
        <v>19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</row>
    <row r="29" spans="2:53" x14ac:dyDescent="0.25">
      <c r="B29" s="2">
        <v>21</v>
      </c>
      <c r="C29" s="3" t="s">
        <v>20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2:53" x14ac:dyDescent="0.25">
      <c r="B30" s="2">
        <v>22</v>
      </c>
      <c r="C30" s="3" t="s">
        <v>21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2:53" x14ac:dyDescent="0.25">
      <c r="B31" s="2">
        <v>23</v>
      </c>
      <c r="C31" s="3" t="s">
        <v>22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2:53" x14ac:dyDescent="0.25">
      <c r="B32" s="2">
        <v>24</v>
      </c>
      <c r="C32" s="3" t="s">
        <v>23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spans="2:16" x14ac:dyDescent="0.25">
      <c r="B33" s="2">
        <v>25</v>
      </c>
      <c r="C33" s="3" t="s">
        <v>24</v>
      </c>
      <c r="D33" s="37"/>
      <c r="E33" s="37"/>
      <c r="F33" s="37">
        <v>18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2:16" x14ac:dyDescent="0.25">
      <c r="B34" s="2">
        <v>26</v>
      </c>
      <c r="C34" s="3" t="s">
        <v>25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</row>
    <row r="35" spans="2:16" x14ac:dyDescent="0.25">
      <c r="B35" s="2">
        <v>27</v>
      </c>
      <c r="C35" s="3" t="s">
        <v>26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spans="2:16" x14ac:dyDescent="0.25">
      <c r="B36" s="2">
        <v>28</v>
      </c>
      <c r="C36" s="3" t="s">
        <v>27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</row>
    <row r="37" spans="2:16" x14ac:dyDescent="0.25">
      <c r="B37" s="2">
        <v>29</v>
      </c>
      <c r="C37" s="3" t="s">
        <v>28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2:16" x14ac:dyDescent="0.25">
      <c r="B38" s="2">
        <v>30</v>
      </c>
      <c r="C38" s="3" t="s">
        <v>29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2:16" x14ac:dyDescent="0.25">
      <c r="B39" s="2">
        <v>31</v>
      </c>
      <c r="C39" s="3" t="s">
        <v>30</v>
      </c>
      <c r="D39" s="37"/>
      <c r="E39" s="37"/>
      <c r="F39" s="37"/>
      <c r="G39" s="37"/>
      <c r="H39" s="37"/>
      <c r="I39" s="37"/>
      <c r="J39" s="37"/>
      <c r="K39" s="37"/>
      <c r="L39" s="37"/>
      <c r="M39" s="37">
        <v>1</v>
      </c>
      <c r="N39" s="37"/>
      <c r="O39" s="37"/>
      <c r="P39" s="37"/>
    </row>
    <row r="40" spans="2:16" x14ac:dyDescent="0.25">
      <c r="B40" s="2">
        <v>32</v>
      </c>
      <c r="C40" s="3" t="s">
        <v>31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</row>
    <row r="41" spans="2:16" x14ac:dyDescent="0.25">
      <c r="B41" s="2">
        <v>33</v>
      </c>
      <c r="C41" s="3" t="s">
        <v>32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2:16" x14ac:dyDescent="0.25">
      <c r="B42" s="2">
        <v>34</v>
      </c>
      <c r="C42" s="3" t="s">
        <v>33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</row>
    <row r="43" spans="2:16" x14ac:dyDescent="0.25">
      <c r="B43" s="2">
        <v>35</v>
      </c>
      <c r="C43" s="3" t="s">
        <v>34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</row>
    <row r="44" spans="2:16" x14ac:dyDescent="0.25">
      <c r="B44" s="2">
        <v>36</v>
      </c>
      <c r="C44" s="3" t="s">
        <v>35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</row>
    <row r="45" spans="2:16" ht="15" x14ac:dyDescent="0.25">
      <c r="C45" s="36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</row>
    <row r="46" spans="2:16" ht="15" x14ac:dyDescent="0.25">
      <c r="C46" s="38" t="s">
        <v>36</v>
      </c>
      <c r="D46" s="39">
        <f t="shared" ref="D46:P46" si="0">SUM(D9:D45)</f>
        <v>0</v>
      </c>
      <c r="E46" s="39">
        <f t="shared" si="0"/>
        <v>3</v>
      </c>
      <c r="F46" s="39">
        <f t="shared" si="0"/>
        <v>66</v>
      </c>
      <c r="G46" s="39">
        <f t="shared" si="0"/>
        <v>42</v>
      </c>
      <c r="H46" s="39">
        <f t="shared" si="0"/>
        <v>14</v>
      </c>
      <c r="I46" s="39">
        <f t="shared" si="0"/>
        <v>1</v>
      </c>
      <c r="J46" s="39">
        <f t="shared" si="0"/>
        <v>12</v>
      </c>
      <c r="K46" s="39">
        <f t="shared" si="0"/>
        <v>11</v>
      </c>
      <c r="L46" s="39">
        <f t="shared" si="0"/>
        <v>0</v>
      </c>
      <c r="M46" s="39">
        <f t="shared" si="0"/>
        <v>10</v>
      </c>
      <c r="N46" s="39">
        <f t="shared" si="0"/>
        <v>0</v>
      </c>
      <c r="O46" s="39">
        <f t="shared" si="0"/>
        <v>0</v>
      </c>
      <c r="P46" s="39">
        <f t="shared" si="0"/>
        <v>110</v>
      </c>
    </row>
  </sheetData>
  <mergeCells count="1">
    <mergeCell ref="B6:P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BA46"/>
  <sheetViews>
    <sheetView tabSelected="1" zoomScale="85" zoomScaleNormal="85" workbookViewId="0">
      <selection activeCell="D20" sqref="D20"/>
    </sheetView>
  </sheetViews>
  <sheetFormatPr defaultRowHeight="18.75" x14ac:dyDescent="0.25"/>
  <cols>
    <col min="1" max="1" width="4.7109375" style="2" customWidth="1"/>
    <col min="2" max="2" width="9.140625" style="2"/>
    <col min="3" max="3" width="44" style="1" customWidth="1"/>
    <col min="4" max="4" width="18.42578125" style="3" customWidth="1"/>
    <col min="5" max="5" width="10.28515625" style="2" bestFit="1" customWidth="1"/>
    <col min="6" max="6" width="11.5703125" style="2" customWidth="1"/>
    <col min="7" max="7" width="13.7109375" style="2" customWidth="1"/>
    <col min="8" max="8" width="11.140625" style="2" bestFit="1" customWidth="1"/>
    <col min="9" max="9" width="15" style="2" bestFit="1" customWidth="1"/>
    <col min="10" max="10" width="12" style="2" bestFit="1" customWidth="1"/>
    <col min="11" max="11" width="14.42578125" style="2" bestFit="1" customWidth="1"/>
    <col min="12" max="12" width="14.28515625" style="2" bestFit="1" customWidth="1"/>
    <col min="13" max="13" width="12.140625" style="2" bestFit="1" customWidth="1"/>
    <col min="14" max="14" width="13.42578125" style="2" bestFit="1" customWidth="1"/>
    <col min="15" max="16" width="10.28515625" style="2" bestFit="1" customWidth="1"/>
    <col min="17" max="17" width="16" style="2" customWidth="1"/>
    <col min="18" max="18" width="14" style="2" customWidth="1"/>
    <col min="19" max="49" width="3.7109375" style="2" customWidth="1"/>
    <col min="50" max="50" width="9.140625" style="2"/>
    <col min="51" max="51" width="15.42578125" style="2" customWidth="1"/>
    <col min="52" max="52" width="21.5703125" style="2" customWidth="1"/>
    <col min="53" max="53" width="21.42578125" style="2" customWidth="1"/>
    <col min="54" max="16384" width="9.140625" style="2"/>
  </cols>
  <sheetData>
    <row r="6" spans="2:53" ht="15" x14ac:dyDescent="0.25">
      <c r="B6" s="74" t="s">
        <v>42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2:53" ht="15.75" thickBot="1" x14ac:dyDescent="0.3">
      <c r="B7" s="36" t="s">
        <v>62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2:53" ht="15.75" thickBot="1" x14ac:dyDescent="0.3">
      <c r="B8" s="40" t="s">
        <v>57</v>
      </c>
      <c r="C8" s="42" t="s">
        <v>58</v>
      </c>
      <c r="D8" s="41" t="s">
        <v>44</v>
      </c>
      <c r="E8" s="35" t="s">
        <v>45</v>
      </c>
      <c r="F8" s="35" t="s">
        <v>46</v>
      </c>
      <c r="G8" s="35" t="s">
        <v>47</v>
      </c>
      <c r="H8" s="35" t="s">
        <v>48</v>
      </c>
      <c r="I8" s="35" t="s">
        <v>49</v>
      </c>
      <c r="J8" s="35" t="s">
        <v>50</v>
      </c>
      <c r="K8" s="35" t="s">
        <v>51</v>
      </c>
      <c r="L8" s="35" t="s">
        <v>52</v>
      </c>
      <c r="M8" s="35" t="s">
        <v>53</v>
      </c>
      <c r="N8" s="35" t="s">
        <v>54</v>
      </c>
      <c r="O8" s="35" t="s">
        <v>55</v>
      </c>
      <c r="P8" s="35" t="s">
        <v>56</v>
      </c>
      <c r="R8" s="8" t="s">
        <v>37</v>
      </c>
      <c r="S8" s="9">
        <v>1</v>
      </c>
      <c r="T8" s="10">
        <v>2</v>
      </c>
      <c r="U8" s="10">
        <v>3</v>
      </c>
      <c r="V8" s="10">
        <v>4</v>
      </c>
      <c r="W8" s="10">
        <v>5</v>
      </c>
      <c r="X8" s="10">
        <v>6</v>
      </c>
      <c r="Y8" s="10">
        <v>7</v>
      </c>
      <c r="Z8" s="10">
        <v>8</v>
      </c>
      <c r="AA8" s="10">
        <v>9</v>
      </c>
      <c r="AB8" s="10">
        <v>10</v>
      </c>
      <c r="AC8" s="10">
        <v>11</v>
      </c>
      <c r="AD8" s="10">
        <v>12</v>
      </c>
      <c r="AE8" s="10">
        <v>13</v>
      </c>
      <c r="AF8" s="10">
        <v>14</v>
      </c>
      <c r="AG8" s="10">
        <v>15</v>
      </c>
      <c r="AH8" s="10">
        <v>16</v>
      </c>
      <c r="AI8" s="10">
        <v>17</v>
      </c>
      <c r="AJ8" s="10">
        <v>18</v>
      </c>
      <c r="AK8" s="10">
        <v>19</v>
      </c>
      <c r="AL8" s="10">
        <v>20</v>
      </c>
      <c r="AM8" s="10">
        <v>21</v>
      </c>
      <c r="AN8" s="10">
        <v>22</v>
      </c>
      <c r="AO8" s="10">
        <v>23</v>
      </c>
      <c r="AP8" s="10">
        <v>24</v>
      </c>
      <c r="AQ8" s="10">
        <v>25</v>
      </c>
      <c r="AR8" s="10">
        <v>26</v>
      </c>
      <c r="AS8" s="10">
        <v>27</v>
      </c>
      <c r="AT8" s="10">
        <v>28</v>
      </c>
      <c r="AU8" s="10">
        <v>29</v>
      </c>
      <c r="AV8" s="10">
        <v>30</v>
      </c>
      <c r="AW8" s="6">
        <v>31</v>
      </c>
      <c r="AY8" s="31" t="s">
        <v>40</v>
      </c>
      <c r="AZ8" s="32" t="s">
        <v>41</v>
      </c>
      <c r="BA8" s="33" t="s">
        <v>38</v>
      </c>
    </row>
    <row r="9" spans="2:53" x14ac:dyDescent="0.25">
      <c r="B9" s="2">
        <v>1</v>
      </c>
      <c r="C9" s="3" t="s">
        <v>0</v>
      </c>
      <c r="D9" s="37" t="s">
        <v>39</v>
      </c>
      <c r="E9" s="37" t="s">
        <v>39</v>
      </c>
      <c r="F9" s="37" t="s">
        <v>39</v>
      </c>
      <c r="G9" s="37" t="s">
        <v>39</v>
      </c>
      <c r="H9" s="37" t="s">
        <v>39</v>
      </c>
      <c r="I9" s="37" t="s">
        <v>39</v>
      </c>
      <c r="J9" s="37" t="s">
        <v>39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f>SUM(D9:O9)</f>
        <v>0</v>
      </c>
      <c r="R9" s="7">
        <v>45017</v>
      </c>
      <c r="S9" s="57"/>
      <c r="T9" s="17"/>
      <c r="U9" s="17"/>
      <c r="V9" s="18"/>
      <c r="W9" s="18"/>
      <c r="X9" s="18"/>
      <c r="Y9" s="18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9"/>
      <c r="AY9" s="28"/>
      <c r="AZ9" s="29"/>
      <c r="BA9" s="30"/>
    </row>
    <row r="10" spans="2:53" x14ac:dyDescent="0.25">
      <c r="B10" s="2">
        <v>2</v>
      </c>
      <c r="C10" s="3" t="s">
        <v>1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R10" s="7">
        <v>45047</v>
      </c>
      <c r="S10" s="50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5"/>
      <c r="AY10" s="23"/>
      <c r="AZ10" s="22"/>
      <c r="BA10" s="24"/>
    </row>
    <row r="11" spans="2:53" x14ac:dyDescent="0.25">
      <c r="B11" s="2">
        <v>3</v>
      </c>
      <c r="C11" s="3" t="s">
        <v>2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R11" s="7">
        <v>45078</v>
      </c>
      <c r="S11" s="51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34"/>
      <c r="AY11" s="20"/>
      <c r="AZ11" s="14"/>
      <c r="BA11" s="15"/>
    </row>
    <row r="12" spans="2:53" x14ac:dyDescent="0.25">
      <c r="B12" s="2">
        <v>4</v>
      </c>
      <c r="C12" s="3" t="s">
        <v>3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R12" s="7">
        <v>45108</v>
      </c>
      <c r="S12" s="56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5"/>
      <c r="AY12" s="23"/>
      <c r="AZ12" s="22"/>
      <c r="BA12" s="24"/>
    </row>
    <row r="13" spans="2:53" x14ac:dyDescent="0.25">
      <c r="B13" s="2">
        <v>5</v>
      </c>
      <c r="C13" s="3" t="s">
        <v>4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R13" s="7">
        <v>45139</v>
      </c>
      <c r="S13" s="50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5"/>
      <c r="AY13" s="23"/>
      <c r="AZ13" s="22"/>
      <c r="BA13" s="24"/>
    </row>
    <row r="14" spans="2:53" x14ac:dyDescent="0.25">
      <c r="B14" s="2">
        <v>6</v>
      </c>
      <c r="C14" s="3" t="s">
        <v>5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R14" s="7">
        <v>45170</v>
      </c>
      <c r="S14" s="51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5"/>
      <c r="AY14" s="23"/>
      <c r="AZ14" s="22"/>
      <c r="BA14" s="24"/>
    </row>
    <row r="15" spans="2:53" x14ac:dyDescent="0.25">
      <c r="B15" s="2">
        <v>7</v>
      </c>
      <c r="C15" s="3" t="s">
        <v>6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R15" s="7">
        <v>45200</v>
      </c>
      <c r="S15" s="58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5"/>
      <c r="AY15" s="23"/>
      <c r="AZ15" s="22"/>
      <c r="BA15" s="24"/>
    </row>
    <row r="16" spans="2:53" x14ac:dyDescent="0.25">
      <c r="B16" s="2">
        <v>8</v>
      </c>
      <c r="C16" s="3" t="s">
        <v>7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R16" s="7">
        <v>45231</v>
      </c>
      <c r="S16" s="58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5"/>
      <c r="AY16" s="23"/>
      <c r="AZ16" s="22"/>
      <c r="BA16" s="24"/>
    </row>
    <row r="17" spans="2:53" x14ac:dyDescent="0.25">
      <c r="B17" s="2">
        <v>9</v>
      </c>
      <c r="C17" s="3" t="s">
        <v>8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R17" s="7">
        <v>45261</v>
      </c>
      <c r="S17" s="51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5"/>
      <c r="AY17" s="23"/>
      <c r="AZ17" s="22"/>
      <c r="BA17" s="24"/>
    </row>
    <row r="18" spans="2:53" x14ac:dyDescent="0.25">
      <c r="B18" s="2">
        <v>10</v>
      </c>
      <c r="C18" s="3" t="s">
        <v>9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R18" s="7">
        <v>45292</v>
      </c>
      <c r="S18" s="51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Y18" s="23"/>
      <c r="AZ18" s="22"/>
      <c r="BA18" s="24"/>
    </row>
    <row r="19" spans="2:53" x14ac:dyDescent="0.25">
      <c r="B19" s="2">
        <v>11</v>
      </c>
      <c r="C19" s="3" t="s">
        <v>10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R19" s="7">
        <v>45323</v>
      </c>
      <c r="S19" s="58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5"/>
      <c r="AY19" s="23"/>
      <c r="AZ19" s="22"/>
      <c r="BA19" s="24"/>
    </row>
    <row r="20" spans="2:53" ht="19.5" thickBot="1" x14ac:dyDescent="0.3">
      <c r="B20" s="2">
        <v>12</v>
      </c>
      <c r="C20" s="3" t="s">
        <v>11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R20" s="7">
        <v>45352</v>
      </c>
      <c r="S20" s="59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3"/>
      <c r="AY20" s="25"/>
      <c r="AZ20" s="26"/>
      <c r="BA20" s="27"/>
    </row>
    <row r="21" spans="2:53" x14ac:dyDescent="0.25">
      <c r="B21" s="2">
        <v>13</v>
      </c>
      <c r="C21" s="3" t="s">
        <v>12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</row>
    <row r="22" spans="2:53" x14ac:dyDescent="0.25">
      <c r="B22" s="2">
        <v>14</v>
      </c>
      <c r="C22" s="3" t="s">
        <v>13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spans="2:53" x14ac:dyDescent="0.25">
      <c r="B23" s="2">
        <v>15</v>
      </c>
      <c r="C23" s="3" t="s">
        <v>14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</row>
    <row r="24" spans="2:53" x14ac:dyDescent="0.25">
      <c r="B24" s="2">
        <v>16</v>
      </c>
      <c r="C24" s="3" t="s">
        <v>15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2:53" x14ac:dyDescent="0.25">
      <c r="B25" s="2">
        <v>17</v>
      </c>
      <c r="C25" s="3" t="s">
        <v>16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</row>
    <row r="26" spans="2:53" x14ac:dyDescent="0.25">
      <c r="B26" s="2">
        <v>18</v>
      </c>
      <c r="C26" s="3" t="s">
        <v>17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</row>
    <row r="27" spans="2:53" x14ac:dyDescent="0.25">
      <c r="B27" s="2">
        <v>19</v>
      </c>
      <c r="C27" s="3" t="s">
        <v>18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2:53" x14ac:dyDescent="0.25">
      <c r="B28" s="2">
        <v>20</v>
      </c>
      <c r="C28" s="3" t="s">
        <v>19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</row>
    <row r="29" spans="2:53" x14ac:dyDescent="0.25">
      <c r="B29" s="2">
        <v>21</v>
      </c>
      <c r="C29" s="3" t="s">
        <v>20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2:53" x14ac:dyDescent="0.25">
      <c r="B30" s="2">
        <v>22</v>
      </c>
      <c r="C30" s="3" t="s">
        <v>21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2:53" x14ac:dyDescent="0.25">
      <c r="B31" s="2">
        <v>23</v>
      </c>
      <c r="C31" s="3" t="s">
        <v>22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2:53" x14ac:dyDescent="0.25">
      <c r="B32" s="2">
        <v>24</v>
      </c>
      <c r="C32" s="3" t="s">
        <v>23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spans="2:16" x14ac:dyDescent="0.25">
      <c r="B33" s="2">
        <v>25</v>
      </c>
      <c r="C33" s="3" t="s">
        <v>24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2:16" x14ac:dyDescent="0.25">
      <c r="B34" s="2">
        <v>26</v>
      </c>
      <c r="C34" s="3" t="s">
        <v>25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</row>
    <row r="35" spans="2:16" x14ac:dyDescent="0.25">
      <c r="B35" s="2">
        <v>27</v>
      </c>
      <c r="C35" s="3" t="s">
        <v>26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spans="2:16" x14ac:dyDescent="0.25">
      <c r="B36" s="2">
        <v>28</v>
      </c>
      <c r="C36" s="3" t="s">
        <v>27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</row>
    <row r="37" spans="2:16" x14ac:dyDescent="0.25">
      <c r="B37" s="2">
        <v>29</v>
      </c>
      <c r="C37" s="3" t="s">
        <v>28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2:16" x14ac:dyDescent="0.25">
      <c r="B38" s="2">
        <v>30</v>
      </c>
      <c r="C38" s="3" t="s">
        <v>29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</row>
    <row r="39" spans="2:16" x14ac:dyDescent="0.25">
      <c r="B39" s="2">
        <v>31</v>
      </c>
      <c r="C39" s="3" t="s">
        <v>30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</row>
    <row r="40" spans="2:16" x14ac:dyDescent="0.25">
      <c r="B40" s="2">
        <v>32</v>
      </c>
      <c r="C40" s="3" t="s">
        <v>31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</row>
    <row r="41" spans="2:16" x14ac:dyDescent="0.25">
      <c r="B41" s="2">
        <v>33</v>
      </c>
      <c r="C41" s="3" t="s">
        <v>32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2:16" x14ac:dyDescent="0.25">
      <c r="B42" s="2">
        <v>34</v>
      </c>
      <c r="C42" s="3" t="s">
        <v>33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</row>
    <row r="43" spans="2:16" x14ac:dyDescent="0.25">
      <c r="B43" s="2">
        <v>35</v>
      </c>
      <c r="C43" s="3" t="s">
        <v>34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</row>
    <row r="44" spans="2:16" x14ac:dyDescent="0.25">
      <c r="B44" s="2">
        <v>36</v>
      </c>
      <c r="C44" s="3" t="s">
        <v>35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</row>
    <row r="45" spans="2:16" ht="15" x14ac:dyDescent="0.25">
      <c r="C45" s="36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</row>
    <row r="46" spans="2:16" ht="15" x14ac:dyDescent="0.25">
      <c r="C46" s="38" t="s">
        <v>36</v>
      </c>
      <c r="D46" s="39">
        <f t="shared" ref="D46:P46" si="0">SUM(D9:D45)</f>
        <v>0</v>
      </c>
      <c r="E46" s="39">
        <f t="shared" si="0"/>
        <v>0</v>
      </c>
      <c r="F46" s="39">
        <f t="shared" si="0"/>
        <v>0</v>
      </c>
      <c r="G46" s="39">
        <f t="shared" si="0"/>
        <v>0</v>
      </c>
      <c r="H46" s="39">
        <f t="shared" si="0"/>
        <v>0</v>
      </c>
      <c r="I46" s="39">
        <f t="shared" si="0"/>
        <v>0</v>
      </c>
      <c r="J46" s="39">
        <f t="shared" si="0"/>
        <v>0</v>
      </c>
      <c r="K46" s="39">
        <f t="shared" si="0"/>
        <v>0</v>
      </c>
      <c r="L46" s="39">
        <f t="shared" si="0"/>
        <v>0</v>
      </c>
      <c r="M46" s="39">
        <f t="shared" si="0"/>
        <v>0</v>
      </c>
      <c r="N46" s="39">
        <f t="shared" si="0"/>
        <v>0</v>
      </c>
      <c r="O46" s="39">
        <f t="shared" si="0"/>
        <v>0</v>
      </c>
      <c r="P46" s="39">
        <f t="shared" si="0"/>
        <v>0</v>
      </c>
    </row>
  </sheetData>
  <mergeCells count="1">
    <mergeCell ref="B6:P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Maps</vt:lpstr>
      <vt:lpstr>2019-20</vt:lpstr>
      <vt:lpstr>2020-21</vt:lpstr>
      <vt:lpstr>2021-22</vt:lpstr>
      <vt:lpstr>2022-23</vt:lpstr>
      <vt:lpstr>2023-24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Dhaval Tanti</cp:lastModifiedBy>
  <dcterms:created xsi:type="dcterms:W3CDTF">2020-07-31T04:13:20Z</dcterms:created>
  <dcterms:modified xsi:type="dcterms:W3CDTF">2026-02-08T13:33:01Z</dcterms:modified>
</cp:coreProperties>
</file>